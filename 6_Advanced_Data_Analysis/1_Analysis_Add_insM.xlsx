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e6ea757386bcb/Excel course/"/>
    </mc:Choice>
  </mc:AlternateContent>
  <xr:revisionPtr revIDLastSave="1094" documentId="8_{FFD1D447-B5CF-42ED-8E5E-AF2B2482CA45}" xr6:coauthVersionLast="47" xr6:coauthVersionMax="47" xr10:uidLastSave="{600E93B7-8C92-49F5-8DC7-D840CEFA6C85}"/>
  <bookViews>
    <workbookView xWindow="-110" yWindow="-110" windowWidth="19420" windowHeight="10300" activeTab="2" xr2:uid="{E8E1F915-36E9-47E6-AC9E-E3736C00B8BA}"/>
  </bookViews>
  <sheets>
    <sheet name="Forecast_original" sheetId="1" r:id="rId1"/>
    <sheet name="Forecast_original_final" sheetId="3" r:id="rId2"/>
    <sheet name="What_If_Analysis" sheetId="2" r:id="rId3"/>
    <sheet name="Scenario Summary" sheetId="10" r:id="rId4"/>
    <sheet name="Answer Report 1" sheetId="17" r:id="rId5"/>
  </sheets>
  <definedNames>
    <definedName name="Base">What_If_Analysis!$C$3</definedName>
    <definedName name="Bonus">What_If_Analysis!$C$4</definedName>
    <definedName name="Raise">What_If_Analysis!$C$5</definedName>
    <definedName name="solver_adj" localSheetId="2" hidden="1">What_If_Analysis!$C$4:$C$5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What_If_Analysis!$C$4</definedName>
    <definedName name="solver_lhs2" localSheetId="2" hidden="1">What_If_Analysis!$C$5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What_If_Analysis!$C$14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hs1" localSheetId="2" hidden="1">15%</definedName>
    <definedName name="solver_rhs2" localSheetId="2" hidden="1">8%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Salary">What_If_Analysis!$C$14</definedName>
    <definedName name="Year0">What_If_Analysis!$C$9</definedName>
    <definedName name="Year1">What_If_Analysis!$C$10</definedName>
    <definedName name="Year2">What_If_Analysis!$C$11</definedName>
    <definedName name="Year3">What_If_Analysis!$C$12</definedName>
    <definedName name="Year4">What_If_Analysis!$C$13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370" i="3"/>
  <c r="C371" i="3"/>
  <c r="C383" i="3"/>
  <c r="C395" i="3"/>
  <c r="C407" i="3"/>
  <c r="C419" i="3"/>
  <c r="C431" i="3"/>
  <c r="C443" i="3"/>
  <c r="C455" i="3"/>
  <c r="C385" i="3"/>
  <c r="C397" i="3"/>
  <c r="C409" i="3"/>
  <c r="C421" i="3"/>
  <c r="C433" i="3"/>
  <c r="C445" i="3"/>
  <c r="C457" i="3"/>
  <c r="C374" i="3"/>
  <c r="C386" i="3"/>
  <c r="C398" i="3"/>
  <c r="C410" i="3"/>
  <c r="C422" i="3"/>
  <c r="C434" i="3"/>
  <c r="C446" i="3"/>
  <c r="C458" i="3"/>
  <c r="C387" i="3"/>
  <c r="C448" i="3"/>
  <c r="C372" i="3"/>
  <c r="C384" i="3"/>
  <c r="C396" i="3"/>
  <c r="C408" i="3"/>
  <c r="C420" i="3"/>
  <c r="C432" i="3"/>
  <c r="C444" i="3"/>
  <c r="C456" i="3"/>
  <c r="C375" i="3"/>
  <c r="C399" i="3"/>
  <c r="C411" i="3"/>
  <c r="C423" i="3"/>
  <c r="C435" i="3"/>
  <c r="C447" i="3"/>
  <c r="C376" i="3"/>
  <c r="C388" i="3"/>
  <c r="C400" i="3"/>
  <c r="C412" i="3"/>
  <c r="C424" i="3"/>
  <c r="C436" i="3"/>
  <c r="C377" i="3"/>
  <c r="C389" i="3"/>
  <c r="C401" i="3"/>
  <c r="C413" i="3"/>
  <c r="C425" i="3"/>
  <c r="C437" i="3"/>
  <c r="C449" i="3"/>
  <c r="C378" i="3"/>
  <c r="C390" i="3"/>
  <c r="C402" i="3"/>
  <c r="C414" i="3"/>
  <c r="C426" i="3"/>
  <c r="C438" i="3"/>
  <c r="C450" i="3"/>
  <c r="C373" i="3"/>
  <c r="C367" i="3"/>
  <c r="C368" i="3"/>
  <c r="C369" i="3"/>
  <c r="C379" i="3"/>
  <c r="C415" i="3"/>
  <c r="C451" i="3"/>
  <c r="C417" i="3"/>
  <c r="C380" i="3"/>
  <c r="C416" i="3"/>
  <c r="C452" i="3"/>
  <c r="C381" i="3"/>
  <c r="C453" i="3"/>
  <c r="C428" i="3"/>
  <c r="C393" i="3"/>
  <c r="C394" i="3"/>
  <c r="C404" i="3"/>
  <c r="C441" i="3"/>
  <c r="C442" i="3"/>
  <c r="C382" i="3"/>
  <c r="C418" i="3"/>
  <c r="C454" i="3"/>
  <c r="C391" i="3"/>
  <c r="C427" i="3"/>
  <c r="C429" i="3"/>
  <c r="C430" i="3"/>
  <c r="C439" i="3"/>
  <c r="C440" i="3"/>
  <c r="C405" i="3"/>
  <c r="C406" i="3"/>
  <c r="C392" i="3"/>
  <c r="C403" i="3"/>
  <c r="C14" i="2" l="1"/>
  <c r="D403" i="3"/>
  <c r="D430" i="3"/>
  <c r="D382" i="3"/>
  <c r="D428" i="3"/>
  <c r="D417" i="3"/>
  <c r="D367" i="3"/>
  <c r="E402" i="3"/>
  <c r="E413" i="3"/>
  <c r="E412" i="3"/>
  <c r="E423" i="3"/>
  <c r="D432" i="3"/>
  <c r="E448" i="3"/>
  <c r="E410" i="3"/>
  <c r="D433" i="3"/>
  <c r="D443" i="3"/>
  <c r="D371" i="3"/>
  <c r="E392" i="3"/>
  <c r="E429" i="3"/>
  <c r="E442" i="3"/>
  <c r="E453" i="3"/>
  <c r="E451" i="3"/>
  <c r="E373" i="3"/>
  <c r="D401" i="3"/>
  <c r="D400" i="3"/>
  <c r="D411" i="3"/>
  <c r="E420" i="3"/>
  <c r="D387" i="3"/>
  <c r="E398" i="3"/>
  <c r="E421" i="3"/>
  <c r="E431" i="3"/>
  <c r="E370" i="3"/>
  <c r="D392" i="3"/>
  <c r="D429" i="3"/>
  <c r="D442" i="3"/>
  <c r="D453" i="3"/>
  <c r="D373" i="3"/>
  <c r="E390" i="3"/>
  <c r="E401" i="3"/>
  <c r="E400" i="3"/>
  <c r="E411" i="3"/>
  <c r="E387" i="3"/>
  <c r="D398" i="3"/>
  <c r="D431" i="3"/>
  <c r="E416" i="3"/>
  <c r="E456" i="3"/>
  <c r="D454" i="3"/>
  <c r="D369" i="3"/>
  <c r="D456" i="3"/>
  <c r="E418" i="3"/>
  <c r="D414" i="3"/>
  <c r="E444" i="3"/>
  <c r="E455" i="3"/>
  <c r="D380" i="3"/>
  <c r="E414" i="3"/>
  <c r="D444" i="3"/>
  <c r="D383" i="3"/>
  <c r="E428" i="3"/>
  <c r="D402" i="3"/>
  <c r="E432" i="3"/>
  <c r="E371" i="3"/>
  <c r="D390" i="3"/>
  <c r="D451" i="3"/>
  <c r="D420" i="3"/>
  <c r="D421" i="3"/>
  <c r="D370" i="3"/>
  <c r="D426" i="3"/>
  <c r="D434" i="3"/>
  <c r="D394" i="3"/>
  <c r="E436" i="3"/>
  <c r="D457" i="3"/>
  <c r="E380" i="3"/>
  <c r="D425" i="3"/>
  <c r="E372" i="3"/>
  <c r="D418" i="3"/>
  <c r="E424" i="3"/>
  <c r="D445" i="3"/>
  <c r="E430" i="3"/>
  <c r="D413" i="3"/>
  <c r="D410" i="3"/>
  <c r="E443" i="3"/>
  <c r="E406" i="3"/>
  <c r="E427" i="3"/>
  <c r="E441" i="3"/>
  <c r="E381" i="3"/>
  <c r="E415" i="3"/>
  <c r="D450" i="3"/>
  <c r="D378" i="3"/>
  <c r="D389" i="3"/>
  <c r="D388" i="3"/>
  <c r="D399" i="3"/>
  <c r="E408" i="3"/>
  <c r="E458" i="3"/>
  <c r="D386" i="3"/>
  <c r="E409" i="3"/>
  <c r="E419" i="3"/>
  <c r="D406" i="3"/>
  <c r="D427" i="3"/>
  <c r="D441" i="3"/>
  <c r="D381" i="3"/>
  <c r="D415" i="3"/>
  <c r="E450" i="3"/>
  <c r="E378" i="3"/>
  <c r="E389" i="3"/>
  <c r="E388" i="3"/>
  <c r="E399" i="3"/>
  <c r="D408" i="3"/>
  <c r="D458" i="3"/>
  <c r="E386" i="3"/>
  <c r="D409" i="3"/>
  <c r="D419" i="3"/>
  <c r="E376" i="3"/>
  <c r="E446" i="3"/>
  <c r="D397" i="3"/>
  <c r="E440" i="3"/>
  <c r="E369" i="3"/>
  <c r="D436" i="3"/>
  <c r="D447" i="3"/>
  <c r="E457" i="3"/>
  <c r="E385" i="3"/>
  <c r="D440" i="3"/>
  <c r="E426" i="3"/>
  <c r="E447" i="3"/>
  <c r="E434" i="3"/>
  <c r="D385" i="3"/>
  <c r="E439" i="3"/>
  <c r="E368" i="3"/>
  <c r="D435" i="3"/>
  <c r="E445" i="3"/>
  <c r="E383" i="3"/>
  <c r="D393" i="3"/>
  <c r="D368" i="3"/>
  <c r="E435" i="3"/>
  <c r="D372" i="3"/>
  <c r="D455" i="3"/>
  <c r="E403" i="3"/>
  <c r="E417" i="3"/>
  <c r="D412" i="3"/>
  <c r="D448" i="3"/>
  <c r="E405" i="3"/>
  <c r="E391" i="3"/>
  <c r="E404" i="3"/>
  <c r="E452" i="3"/>
  <c r="E379" i="3"/>
  <c r="D438" i="3"/>
  <c r="D449" i="3"/>
  <c r="D377" i="3"/>
  <c r="D376" i="3"/>
  <c r="D375" i="3"/>
  <c r="E396" i="3"/>
  <c r="D446" i="3"/>
  <c r="D374" i="3"/>
  <c r="E397" i="3"/>
  <c r="E407" i="3"/>
  <c r="D405" i="3"/>
  <c r="D391" i="3"/>
  <c r="D404" i="3"/>
  <c r="D452" i="3"/>
  <c r="D379" i="3"/>
  <c r="E438" i="3"/>
  <c r="E449" i="3"/>
  <c r="E377" i="3"/>
  <c r="E375" i="3"/>
  <c r="D396" i="3"/>
  <c r="E374" i="3"/>
  <c r="D407" i="3"/>
  <c r="E454" i="3"/>
  <c r="E394" i="3"/>
  <c r="D437" i="3"/>
  <c r="E384" i="3"/>
  <c r="E395" i="3"/>
  <c r="D416" i="3"/>
  <c r="E437" i="3"/>
  <c r="D384" i="3"/>
  <c r="D395" i="3"/>
  <c r="E393" i="3"/>
  <c r="D424" i="3"/>
  <c r="D422" i="3"/>
  <c r="D439" i="3"/>
  <c r="E425" i="3"/>
  <c r="E422" i="3"/>
  <c r="E382" i="3"/>
  <c r="E367" i="3"/>
  <c r="D423" i="3"/>
  <c r="E433" i="3"/>
</calcChain>
</file>

<file path=xl/sharedStrings.xml><?xml version="1.0" encoding="utf-8"?>
<sst xmlns="http://schemas.openxmlformats.org/spreadsheetml/2006/main" count="95" uniqueCount="68">
  <si>
    <t>Date</t>
  </si>
  <si>
    <t>Job Count</t>
  </si>
  <si>
    <t>Input Cells</t>
  </si>
  <si>
    <t>Job</t>
  </si>
  <si>
    <t>Base Salary</t>
  </si>
  <si>
    <t>Bonus</t>
  </si>
  <si>
    <t>Annual Raise</t>
  </si>
  <si>
    <t>Job 1</t>
  </si>
  <si>
    <t>Job 2</t>
  </si>
  <si>
    <t>Job 3</t>
  </si>
  <si>
    <t>Max Likely</t>
  </si>
  <si>
    <t>Result Cells</t>
  </si>
  <si>
    <t>Year</t>
  </si>
  <si>
    <t>Amount</t>
  </si>
  <si>
    <t>Total</t>
  </si>
  <si>
    <t>Forecast(Job Count)</t>
  </si>
  <si>
    <t>Lower Confidence Bound(Job Count)</t>
  </si>
  <si>
    <t>Upper Confidence Bound(Job Count)</t>
  </si>
  <si>
    <t>$C$4</t>
  </si>
  <si>
    <t>$C$5</t>
  </si>
  <si>
    <t>$C$14</t>
  </si>
  <si>
    <t>Created by Fadi Joma on 29/07/2026
Modified by Fadi Joma on 29/07/2026</t>
  </si>
  <si>
    <t>Created by Fadi Joma on 29/07/2026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</si>
  <si>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</si>
  <si>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</si>
  <si>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</si>
  <si>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</si>
  <si>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</si>
  <si>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</si>
  <si>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</si>
  <si>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Raise</t>
  </si>
  <si>
    <t>Base</t>
  </si>
  <si>
    <t>Year0</t>
  </si>
  <si>
    <t>Year1</t>
  </si>
  <si>
    <t>Year2</t>
  </si>
  <si>
    <t>Year3</t>
  </si>
  <si>
    <t>Year4</t>
  </si>
  <si>
    <t>TotalSalary</t>
  </si>
  <si>
    <t>Microsoft Excel 16.0 Answer Report</t>
  </si>
  <si>
    <t>Worksheet: [1_Analysis_Add_insM.xlsx]What_If_Analysis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</si>
  <si>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</si>
  <si>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</si>
  <si>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</si>
  <si>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</si>
  <si>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</si>
  <si>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</si>
  <si>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</si>
  <si>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</si>
  <si>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</si>
  <si>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</si>
  <si>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</si>
  <si>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</si>
  <si>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</si>
  <si>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</si>
  <si>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</si>
  <si>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</si>
  <si>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</si>
  <si>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</si>
  <si>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</si>
  <si>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Contin</t>
  </si>
  <si>
    <t>$C$14=640000</t>
  </si>
  <si>
    <t>Binding</t>
  </si>
  <si>
    <t>Report Created: 29/07/2026 12:51:27</t>
  </si>
  <si>
    <t>Solution Time: 0.015 Seconds.</t>
  </si>
  <si>
    <t>Iterations: 0 Subproblems: 0</t>
  </si>
  <si>
    <t>$C$4&lt;=0.15</t>
  </si>
  <si>
    <t>Not Binding</t>
  </si>
  <si>
    <t>$C$5&lt;=0.08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</si>
</sst>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£&quot;* #,##0_);_(&quot;£&quot;* \(#,##0\);_(&quot;£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164" fontId="1" fillId="0" borderId="0" applyFont="0" applyFill="0" applyBorder="0" applyAlignment="0" applyProtection="0"/>
  </cellStyleXfs>
  <cellXfs count="64">
    <xf numFmtId="0" fontId="0" fillId="0" borderId="0" xfId="0"/>
    <xf numFmtId="167" fontId="0" fillId="0" borderId="5" xfId="0" applyNumberFormat="1" applyBorder="1" applyAlignment="1">
      <alignment horizontal="left"/>
    </xf>
    <xf numFmtId="0" fontId="0" fillId="0" borderId="6" xfId="0" applyBorder="1"/>
    <xf numFmtId="167" fontId="0" fillId="0" borderId="7" xfId="0" applyNumberFormat="1" applyBorder="1" applyAlignment="1">
      <alignment horizontal="left"/>
    </xf>
    <xf numFmtId="0" fontId="0" fillId="0" borderId="8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0" fontId="3" fillId="0" borderId="5" xfId="0" applyFont="1" applyBorder="1"/>
    <xf numFmtId="165" fontId="0" fillId="0" borderId="6" xfId="2" applyNumberFormat="1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/>
    <xf numFmtId="167" fontId="0" fillId="0" borderId="0" xfId="0" applyNumberFormat="1"/>
    <xf numFmtId="2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66" fontId="0" fillId="0" borderId="6" xfId="0" applyNumberFormat="1" applyBorder="1" applyAlignment="1">
      <alignment vertical="center" wrapText="1"/>
    </xf>
    <xf numFmtId="165" fontId="2" fillId="2" borderId="20" xfId="1" applyNumberFormat="1" applyBorder="1"/>
    <xf numFmtId="9" fontId="2" fillId="2" borderId="20" xfId="1" applyNumberFormat="1" applyBorder="1"/>
    <xf numFmtId="166" fontId="2" fillId="2" borderId="21" xfId="1" applyNumberFormat="1" applyBorder="1"/>
    <xf numFmtId="0" fontId="0" fillId="0" borderId="25" xfId="0" applyBorder="1" applyAlignment="1">
      <alignment vertical="center" wrapText="1"/>
    </xf>
    <xf numFmtId="3" fontId="0" fillId="0" borderId="26" xfId="0" applyNumberFormat="1" applyBorder="1" applyAlignment="1">
      <alignment vertical="center" wrapText="1"/>
    </xf>
    <xf numFmtId="9" fontId="0" fillId="0" borderId="26" xfId="0" applyNumberFormat="1" applyBorder="1" applyAlignment="1">
      <alignment vertical="center" wrapText="1"/>
    </xf>
    <xf numFmtId="166" fontId="0" fillId="0" borderId="27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28" xfId="0" applyFont="1" applyBorder="1"/>
    <xf numFmtId="9" fontId="10" fillId="0" borderId="28" xfId="0" applyNumberFormat="1" applyFont="1" applyBorder="1"/>
    <xf numFmtId="166" fontId="10" fillId="0" borderId="13" xfId="0" applyNumberFormat="1" applyFont="1" applyBorder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5" fontId="0" fillId="0" borderId="2" xfId="0" applyNumberFormat="1" applyBorder="1"/>
    <xf numFmtId="0" fontId="0" fillId="0" borderId="16" xfId="0" applyBorder="1"/>
    <xf numFmtId="0" fontId="6" fillId="4" borderId="0" xfId="0" applyFont="1" applyFill="1" applyAlignment="1">
      <alignment horizontal="lef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0" fontId="0" fillId="5" borderId="0" xfId="0" applyFill="1"/>
    <xf numFmtId="0" fontId="0" fillId="0" borderId="23" xfId="0" applyBorder="1"/>
    <xf numFmtId="0" fontId="7" fillId="0" borderId="22" xfId="0" applyFont="1" applyBorder="1" applyAlignment="1">
      <alignment horizontal="center"/>
    </xf>
    <xf numFmtId="0" fontId="0" fillId="0" borderId="24" xfId="0" applyBorder="1"/>
    <xf numFmtId="168" fontId="0" fillId="0" borderId="23" xfId="0" applyNumberFormat="1" applyBorder="1"/>
    <xf numFmtId="9" fontId="0" fillId="0" borderId="24" xfId="0" applyNumberFormat="1" applyBorder="1"/>
    <xf numFmtId="166" fontId="0" fillId="0" borderId="23" xfId="0" applyNumberFormat="1" applyBorder="1"/>
    <xf numFmtId="168" fontId="0" fillId="0" borderId="24" xfId="0" applyNumberForma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3">
    <cellStyle name="Currency 2" xfId="2" xr:uid="{A2056128-C1BC-4579-BD92-049DAC438F27}"/>
    <cellStyle name="Input" xfId="1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Forecast_original_final!$B$1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Forecast_original_final!$B$2:$B$458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6-4A3D-953E-DBD1BAE5693E}"/>
            </c:ext>
          </c:extLst>
        </c:ser>
        <c:ser>
          <c:idx val="1"/>
          <c:order val="1"/>
          <c:tx>
            <c:strRef>
              <c:f>Forecast_original_final!$C$1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Forecast_original_final!$A$2:$A$458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Forecast_original_final!$C$2:$C$458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26-4A3D-953E-DBD1BAE5693E}"/>
            </c:ext>
          </c:extLst>
        </c:ser>
        <c:ser>
          <c:idx val="2"/>
          <c:order val="2"/>
          <c:tx>
            <c:strRef>
              <c:f>Forecast_original_final!$D$1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Forecast_original_final!$A$2:$A$458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Forecast_original_final!$D$2:$D$458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26-4A3D-953E-DBD1BAE5693E}"/>
            </c:ext>
          </c:extLst>
        </c:ser>
        <c:ser>
          <c:idx val="3"/>
          <c:order val="3"/>
          <c:tx>
            <c:strRef>
              <c:f>Forecast_original_final!$E$1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Forecast_original_final!$A$2:$A$458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Forecast_original_final!$E$2:$E$458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26-4A3D-953E-DBD1BAE5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881423"/>
        <c:axId val="2106882383"/>
      </c:lineChart>
      <c:catAx>
        <c:axId val="210688142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82383"/>
        <c:crosses val="autoZero"/>
        <c:auto val="1"/>
        <c:lblAlgn val="ctr"/>
        <c:lblOffset val="100"/>
        <c:noMultiLvlLbl val="0"/>
      </c:catAx>
      <c:valAx>
        <c:axId val="21068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8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5</xdr:row>
      <xdr:rowOff>6350</xdr:rowOff>
    </xdr:from>
    <xdr:to>
      <xdr:col>13</xdr:col>
      <xdr:colOff>549275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DEA03-8A99-F3C7-EFFD-1612024AB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597E6-9FBD-4293-B40A-F21387D6F01B}" name="Table1" displayName="Table1" ref="A1:E458" totalsRowShown="0">
  <autoFilter ref="A1:E458" xr:uid="{C5E597E6-9FBD-4293-B40A-F21387D6F01B}"/>
  <tableColumns count="5">
    <tableColumn id="1" xr3:uid="{54905A49-6C5C-45D8-9DEB-EA7EAE21572A}" name="Date" dataDxfId="2"/>
    <tableColumn id="2" xr3:uid="{E5A916B3-3D80-4ABC-AB28-0748E4B9E588}" name="Job Count"/>
    <tableColumn id="3" xr3:uid="{F33C9204-725C-4F7A-9054-BEA1325BAC34}" name="Forecast(Job Count)">
      <calculatedColumnFormula>_xlfn.FORECAST.ETS(A2,$B$2:$B$366,$A$2:$A$366,1,1)</calculatedColumnFormula>
    </tableColumn>
    <tableColumn id="4" xr3:uid="{8D47FB1B-29A6-491C-83CB-A28509343C22}" name="Lower Confidence Bound(Job Count)" dataDxfId="1">
      <calculatedColumnFormula>C2-_xlfn.FORECAST.ETS.CONFINT(A2,$B$2:$B$366,$A$2:$A$366,0.95,1,1)</calculatedColumnFormula>
    </tableColumn>
    <tableColumn id="5" xr3:uid="{B915809B-2554-495B-82AD-F88ED649BF32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A8B8-4951-4664-840B-23EA0EAC71BA}">
  <dimension ref="A7:B373"/>
  <sheetViews>
    <sheetView topLeftCell="A8" workbookViewId="0">
      <selection activeCell="E26" sqref="E26"/>
    </sheetView>
  </sheetViews>
  <sheetFormatPr defaultRowHeight="14.5" x14ac:dyDescent="0.35"/>
  <sheetData>
    <row r="7" spans="1:2" ht="15" thickBot="1" x14ac:dyDescent="0.4"/>
    <row r="8" spans="1:2" ht="15" thickBot="1" x14ac:dyDescent="0.4">
      <c r="A8" s="7" t="s">
        <v>0</v>
      </c>
      <c r="B8" s="8" t="s">
        <v>1</v>
      </c>
    </row>
    <row r="9" spans="1:2" x14ac:dyDescent="0.35">
      <c r="A9" s="5">
        <v>44927</v>
      </c>
      <c r="B9" s="6">
        <v>28</v>
      </c>
    </row>
    <row r="10" spans="1:2" x14ac:dyDescent="0.35">
      <c r="A10" s="1">
        <v>44928</v>
      </c>
      <c r="B10" s="2">
        <v>88</v>
      </c>
    </row>
    <row r="11" spans="1:2" x14ac:dyDescent="0.35">
      <c r="A11" s="1">
        <v>44929</v>
      </c>
      <c r="B11" s="2">
        <v>177</v>
      </c>
    </row>
    <row r="12" spans="1:2" x14ac:dyDescent="0.35">
      <c r="A12" s="1">
        <v>44930</v>
      </c>
      <c r="B12" s="2">
        <v>176</v>
      </c>
    </row>
    <row r="13" spans="1:2" x14ac:dyDescent="0.35">
      <c r="A13" s="1">
        <v>44931</v>
      </c>
      <c r="B13" s="2">
        <v>133</v>
      </c>
    </row>
    <row r="14" spans="1:2" x14ac:dyDescent="0.35">
      <c r="A14" s="1">
        <v>44932</v>
      </c>
      <c r="B14" s="2">
        <v>106</v>
      </c>
    </row>
    <row r="15" spans="1:2" x14ac:dyDescent="0.35">
      <c r="A15" s="1">
        <v>44933</v>
      </c>
      <c r="B15" s="2">
        <v>60</v>
      </c>
    </row>
    <row r="16" spans="1:2" x14ac:dyDescent="0.35">
      <c r="A16" s="1">
        <v>44934</v>
      </c>
      <c r="B16" s="2">
        <v>38</v>
      </c>
    </row>
    <row r="17" spans="1:2" x14ac:dyDescent="0.35">
      <c r="A17" s="1">
        <v>44935</v>
      </c>
      <c r="B17" s="2">
        <v>122</v>
      </c>
    </row>
    <row r="18" spans="1:2" x14ac:dyDescent="0.35">
      <c r="A18" s="1">
        <v>44936</v>
      </c>
      <c r="B18" s="2">
        <v>150</v>
      </c>
    </row>
    <row r="19" spans="1:2" x14ac:dyDescent="0.35">
      <c r="A19" s="1">
        <v>44937</v>
      </c>
      <c r="B19" s="2">
        <v>167</v>
      </c>
    </row>
    <row r="20" spans="1:2" x14ac:dyDescent="0.35">
      <c r="A20" s="1">
        <v>44938</v>
      </c>
      <c r="B20" s="2">
        <v>125</v>
      </c>
    </row>
    <row r="21" spans="1:2" x14ac:dyDescent="0.35">
      <c r="A21" s="1">
        <v>44939</v>
      </c>
      <c r="B21" s="2">
        <v>110</v>
      </c>
    </row>
    <row r="22" spans="1:2" x14ac:dyDescent="0.35">
      <c r="A22" s="1">
        <v>44940</v>
      </c>
      <c r="B22" s="2">
        <v>63</v>
      </c>
    </row>
    <row r="23" spans="1:2" x14ac:dyDescent="0.35">
      <c r="A23" s="1">
        <v>44941</v>
      </c>
      <c r="B23" s="2">
        <v>23</v>
      </c>
    </row>
    <row r="24" spans="1:2" x14ac:dyDescent="0.35">
      <c r="A24" s="1">
        <v>44942</v>
      </c>
      <c r="B24" s="2">
        <v>98</v>
      </c>
    </row>
    <row r="25" spans="1:2" x14ac:dyDescent="0.35">
      <c r="A25" s="1">
        <v>44943</v>
      </c>
      <c r="B25" s="2">
        <v>107</v>
      </c>
    </row>
    <row r="26" spans="1:2" x14ac:dyDescent="0.35">
      <c r="A26" s="1">
        <v>44944</v>
      </c>
      <c r="B26" s="2">
        <v>126</v>
      </c>
    </row>
    <row r="27" spans="1:2" x14ac:dyDescent="0.35">
      <c r="A27" s="1">
        <v>44945</v>
      </c>
      <c r="B27" s="2">
        <v>113</v>
      </c>
    </row>
    <row r="28" spans="1:2" x14ac:dyDescent="0.35">
      <c r="A28" s="1">
        <v>44946</v>
      </c>
      <c r="B28" s="2">
        <v>111</v>
      </c>
    </row>
    <row r="29" spans="1:2" x14ac:dyDescent="0.35">
      <c r="A29" s="1">
        <v>44947</v>
      </c>
      <c r="B29" s="2">
        <v>49</v>
      </c>
    </row>
    <row r="30" spans="1:2" x14ac:dyDescent="0.35">
      <c r="A30" s="1">
        <v>44948</v>
      </c>
      <c r="B30" s="2">
        <v>37</v>
      </c>
    </row>
    <row r="31" spans="1:2" x14ac:dyDescent="0.35">
      <c r="A31" s="1">
        <v>44949</v>
      </c>
      <c r="B31" s="2">
        <v>118</v>
      </c>
    </row>
    <row r="32" spans="1:2" x14ac:dyDescent="0.35">
      <c r="A32" s="1">
        <v>44950</v>
      </c>
      <c r="B32" s="2">
        <v>115</v>
      </c>
    </row>
    <row r="33" spans="1:2" x14ac:dyDescent="0.35">
      <c r="A33" s="1">
        <v>44951</v>
      </c>
      <c r="B33" s="2">
        <v>136</v>
      </c>
    </row>
    <row r="34" spans="1:2" x14ac:dyDescent="0.35">
      <c r="A34" s="1">
        <v>44952</v>
      </c>
      <c r="B34" s="2">
        <v>111</v>
      </c>
    </row>
    <row r="35" spans="1:2" x14ac:dyDescent="0.35">
      <c r="A35" s="1">
        <v>44953</v>
      </c>
      <c r="B35" s="2">
        <v>122</v>
      </c>
    </row>
    <row r="36" spans="1:2" x14ac:dyDescent="0.35">
      <c r="A36" s="1">
        <v>44954</v>
      </c>
      <c r="B36" s="2">
        <v>52</v>
      </c>
    </row>
    <row r="37" spans="1:2" x14ac:dyDescent="0.35">
      <c r="A37" s="1">
        <v>44955</v>
      </c>
      <c r="B37" s="2">
        <v>55</v>
      </c>
    </row>
    <row r="38" spans="1:2" x14ac:dyDescent="0.35">
      <c r="A38" s="1">
        <v>44956</v>
      </c>
      <c r="B38" s="2">
        <v>74</v>
      </c>
    </row>
    <row r="39" spans="1:2" x14ac:dyDescent="0.35">
      <c r="A39" s="1">
        <v>44957</v>
      </c>
      <c r="B39" s="2">
        <v>112</v>
      </c>
    </row>
    <row r="40" spans="1:2" x14ac:dyDescent="0.35">
      <c r="A40" s="1">
        <v>44958</v>
      </c>
      <c r="B40" s="2">
        <v>97</v>
      </c>
    </row>
    <row r="41" spans="1:2" x14ac:dyDescent="0.35">
      <c r="A41" s="1">
        <v>44959</v>
      </c>
      <c r="B41" s="2">
        <v>119</v>
      </c>
    </row>
    <row r="42" spans="1:2" x14ac:dyDescent="0.35">
      <c r="A42" s="1">
        <v>44960</v>
      </c>
      <c r="B42" s="2">
        <v>123</v>
      </c>
    </row>
    <row r="43" spans="1:2" x14ac:dyDescent="0.35">
      <c r="A43" s="1">
        <v>44961</v>
      </c>
      <c r="B43" s="2">
        <v>48</v>
      </c>
    </row>
    <row r="44" spans="1:2" x14ac:dyDescent="0.35">
      <c r="A44" s="1">
        <v>44962</v>
      </c>
      <c r="B44" s="2">
        <v>21</v>
      </c>
    </row>
    <row r="45" spans="1:2" x14ac:dyDescent="0.35">
      <c r="A45" s="1">
        <v>44963</v>
      </c>
      <c r="B45" s="2">
        <v>89</v>
      </c>
    </row>
    <row r="46" spans="1:2" x14ac:dyDescent="0.35">
      <c r="A46" s="1">
        <v>44964</v>
      </c>
      <c r="B46" s="2">
        <v>120</v>
      </c>
    </row>
    <row r="47" spans="1:2" x14ac:dyDescent="0.35">
      <c r="A47" s="1">
        <v>44965</v>
      </c>
      <c r="B47" s="2">
        <v>116</v>
      </c>
    </row>
    <row r="48" spans="1:2" x14ac:dyDescent="0.35">
      <c r="A48" s="1">
        <v>44966</v>
      </c>
      <c r="B48" s="2">
        <v>138</v>
      </c>
    </row>
    <row r="49" spans="1:2" x14ac:dyDescent="0.35">
      <c r="A49" s="1">
        <v>44967</v>
      </c>
      <c r="B49" s="2">
        <v>95</v>
      </c>
    </row>
    <row r="50" spans="1:2" x14ac:dyDescent="0.35">
      <c r="A50" s="1">
        <v>44968</v>
      </c>
      <c r="B50" s="2">
        <v>58</v>
      </c>
    </row>
    <row r="51" spans="1:2" x14ac:dyDescent="0.35">
      <c r="A51" s="1">
        <v>44969</v>
      </c>
      <c r="B51" s="2">
        <v>27</v>
      </c>
    </row>
    <row r="52" spans="1:2" x14ac:dyDescent="0.35">
      <c r="A52" s="1">
        <v>44970</v>
      </c>
      <c r="B52" s="2">
        <v>109</v>
      </c>
    </row>
    <row r="53" spans="1:2" x14ac:dyDescent="0.35">
      <c r="A53" s="1">
        <v>44971</v>
      </c>
      <c r="B53" s="2">
        <v>119</v>
      </c>
    </row>
    <row r="54" spans="1:2" x14ac:dyDescent="0.35">
      <c r="A54" s="1">
        <v>44972</v>
      </c>
      <c r="B54" s="2">
        <v>107</v>
      </c>
    </row>
    <row r="55" spans="1:2" x14ac:dyDescent="0.35">
      <c r="A55" s="1">
        <v>44973</v>
      </c>
      <c r="B55" s="2">
        <v>140</v>
      </c>
    </row>
    <row r="56" spans="1:2" x14ac:dyDescent="0.35">
      <c r="A56" s="1">
        <v>44974</v>
      </c>
      <c r="B56" s="2">
        <v>121</v>
      </c>
    </row>
    <row r="57" spans="1:2" x14ac:dyDescent="0.35">
      <c r="A57" s="1">
        <v>44975</v>
      </c>
      <c r="B57" s="2">
        <v>40</v>
      </c>
    </row>
    <row r="58" spans="1:2" x14ac:dyDescent="0.35">
      <c r="A58" s="1">
        <v>44976</v>
      </c>
      <c r="B58" s="2">
        <v>25</v>
      </c>
    </row>
    <row r="59" spans="1:2" x14ac:dyDescent="0.35">
      <c r="A59" s="1">
        <v>44977</v>
      </c>
      <c r="B59" s="2">
        <v>84</v>
      </c>
    </row>
    <row r="60" spans="1:2" x14ac:dyDescent="0.35">
      <c r="A60" s="1">
        <v>44978</v>
      </c>
      <c r="B60" s="2">
        <v>89</v>
      </c>
    </row>
    <row r="61" spans="1:2" x14ac:dyDescent="0.35">
      <c r="A61" s="1">
        <v>44979</v>
      </c>
      <c r="B61" s="2">
        <v>100</v>
      </c>
    </row>
    <row r="62" spans="1:2" x14ac:dyDescent="0.35">
      <c r="A62" s="1">
        <v>44980</v>
      </c>
      <c r="B62" s="2">
        <v>124</v>
      </c>
    </row>
    <row r="63" spans="1:2" x14ac:dyDescent="0.35">
      <c r="A63" s="1">
        <v>44981</v>
      </c>
      <c r="B63" s="2">
        <v>119</v>
      </c>
    </row>
    <row r="64" spans="1:2" x14ac:dyDescent="0.35">
      <c r="A64" s="1">
        <v>44982</v>
      </c>
      <c r="B64" s="2">
        <v>42</v>
      </c>
    </row>
    <row r="65" spans="1:2" x14ac:dyDescent="0.35">
      <c r="A65" s="1">
        <v>44983</v>
      </c>
      <c r="B65" s="2">
        <v>32</v>
      </c>
    </row>
    <row r="66" spans="1:2" x14ac:dyDescent="0.35">
      <c r="A66" s="1">
        <v>44984</v>
      </c>
      <c r="B66" s="2">
        <v>108</v>
      </c>
    </row>
    <row r="67" spans="1:2" x14ac:dyDescent="0.35">
      <c r="A67" s="1">
        <v>44985</v>
      </c>
      <c r="B67" s="2">
        <v>123</v>
      </c>
    </row>
    <row r="68" spans="1:2" x14ac:dyDescent="0.35">
      <c r="A68" s="1">
        <v>44986</v>
      </c>
      <c r="B68" s="2">
        <v>104</v>
      </c>
    </row>
    <row r="69" spans="1:2" x14ac:dyDescent="0.35">
      <c r="A69" s="1">
        <v>44987</v>
      </c>
      <c r="B69" s="2">
        <v>101</v>
      </c>
    </row>
    <row r="70" spans="1:2" x14ac:dyDescent="0.35">
      <c r="A70" s="1">
        <v>44988</v>
      </c>
      <c r="B70" s="2">
        <v>100</v>
      </c>
    </row>
    <row r="71" spans="1:2" x14ac:dyDescent="0.35">
      <c r="A71" s="1">
        <v>44989</v>
      </c>
      <c r="B71" s="2">
        <v>43</v>
      </c>
    </row>
    <row r="72" spans="1:2" x14ac:dyDescent="0.35">
      <c r="A72" s="1">
        <v>44990</v>
      </c>
      <c r="B72" s="2">
        <v>30</v>
      </c>
    </row>
    <row r="73" spans="1:2" x14ac:dyDescent="0.35">
      <c r="A73" s="1">
        <v>44991</v>
      </c>
      <c r="B73" s="2">
        <v>84</v>
      </c>
    </row>
    <row r="74" spans="1:2" x14ac:dyDescent="0.35">
      <c r="A74" s="1">
        <v>44992</v>
      </c>
      <c r="B74" s="2">
        <v>140</v>
      </c>
    </row>
    <row r="75" spans="1:2" x14ac:dyDescent="0.35">
      <c r="A75" s="1">
        <v>44993</v>
      </c>
      <c r="B75" s="2">
        <v>150</v>
      </c>
    </row>
    <row r="76" spans="1:2" x14ac:dyDescent="0.35">
      <c r="A76" s="1">
        <v>44994</v>
      </c>
      <c r="B76" s="2">
        <v>127</v>
      </c>
    </row>
    <row r="77" spans="1:2" x14ac:dyDescent="0.35">
      <c r="A77" s="1">
        <v>44995</v>
      </c>
      <c r="B77" s="2">
        <v>113</v>
      </c>
    </row>
    <row r="78" spans="1:2" x14ac:dyDescent="0.35">
      <c r="A78" s="1">
        <v>44996</v>
      </c>
      <c r="B78" s="2">
        <v>47</v>
      </c>
    </row>
    <row r="79" spans="1:2" x14ac:dyDescent="0.35">
      <c r="A79" s="1">
        <v>44997</v>
      </c>
      <c r="B79" s="2">
        <v>36</v>
      </c>
    </row>
    <row r="80" spans="1:2" x14ac:dyDescent="0.35">
      <c r="A80" s="1">
        <v>44998</v>
      </c>
      <c r="B80" s="2">
        <v>120</v>
      </c>
    </row>
    <row r="81" spans="1:2" x14ac:dyDescent="0.35">
      <c r="A81" s="1">
        <v>44999</v>
      </c>
      <c r="B81" s="2">
        <v>129</v>
      </c>
    </row>
    <row r="82" spans="1:2" x14ac:dyDescent="0.35">
      <c r="A82" s="1">
        <v>45000</v>
      </c>
      <c r="B82" s="2">
        <v>117</v>
      </c>
    </row>
    <row r="83" spans="1:2" x14ac:dyDescent="0.35">
      <c r="A83" s="1">
        <v>45001</v>
      </c>
      <c r="B83" s="2">
        <v>87</v>
      </c>
    </row>
    <row r="84" spans="1:2" x14ac:dyDescent="0.35">
      <c r="A84" s="1">
        <v>45002</v>
      </c>
      <c r="B84" s="2">
        <v>98</v>
      </c>
    </row>
    <row r="85" spans="1:2" x14ac:dyDescent="0.35">
      <c r="A85" s="1">
        <v>45003</v>
      </c>
      <c r="B85" s="2">
        <v>34</v>
      </c>
    </row>
    <row r="86" spans="1:2" x14ac:dyDescent="0.35">
      <c r="A86" s="1">
        <v>45004</v>
      </c>
      <c r="B86" s="2">
        <v>25</v>
      </c>
    </row>
    <row r="87" spans="1:2" x14ac:dyDescent="0.35">
      <c r="A87" s="1">
        <v>45005</v>
      </c>
      <c r="B87" s="2">
        <v>121</v>
      </c>
    </row>
    <row r="88" spans="1:2" x14ac:dyDescent="0.35">
      <c r="A88" s="1">
        <v>45006</v>
      </c>
      <c r="B88" s="2">
        <v>115</v>
      </c>
    </row>
    <row r="89" spans="1:2" x14ac:dyDescent="0.35">
      <c r="A89" s="1">
        <v>45007</v>
      </c>
      <c r="B89" s="2">
        <v>116</v>
      </c>
    </row>
    <row r="90" spans="1:2" x14ac:dyDescent="0.35">
      <c r="A90" s="1">
        <v>45008</v>
      </c>
      <c r="B90" s="2">
        <v>105</v>
      </c>
    </row>
    <row r="91" spans="1:2" x14ac:dyDescent="0.35">
      <c r="A91" s="1">
        <v>45009</v>
      </c>
      <c r="B91" s="2">
        <v>101</v>
      </c>
    </row>
    <row r="92" spans="1:2" x14ac:dyDescent="0.35">
      <c r="A92" s="1">
        <v>45010</v>
      </c>
      <c r="B92" s="2">
        <v>47</v>
      </c>
    </row>
    <row r="93" spans="1:2" x14ac:dyDescent="0.35">
      <c r="A93" s="1">
        <v>45011</v>
      </c>
      <c r="B93" s="2">
        <v>55</v>
      </c>
    </row>
    <row r="94" spans="1:2" x14ac:dyDescent="0.35">
      <c r="A94" s="1">
        <v>45012</v>
      </c>
      <c r="B94" s="2">
        <v>106</v>
      </c>
    </row>
    <row r="95" spans="1:2" x14ac:dyDescent="0.35">
      <c r="A95" s="1">
        <v>45013</v>
      </c>
      <c r="B95" s="2">
        <v>124</v>
      </c>
    </row>
    <row r="96" spans="1:2" x14ac:dyDescent="0.35">
      <c r="A96" s="1">
        <v>45014</v>
      </c>
      <c r="B96" s="2">
        <v>139</v>
      </c>
    </row>
    <row r="97" spans="1:2" x14ac:dyDescent="0.35">
      <c r="A97" s="1">
        <v>45015</v>
      </c>
      <c r="B97" s="2">
        <v>100</v>
      </c>
    </row>
    <row r="98" spans="1:2" x14ac:dyDescent="0.35">
      <c r="A98" s="1">
        <v>45016</v>
      </c>
      <c r="B98" s="2">
        <v>113</v>
      </c>
    </row>
    <row r="99" spans="1:2" x14ac:dyDescent="0.35">
      <c r="A99" s="1">
        <v>45017</v>
      </c>
      <c r="B99" s="2">
        <v>37</v>
      </c>
    </row>
    <row r="100" spans="1:2" x14ac:dyDescent="0.35">
      <c r="A100" s="1">
        <v>45018</v>
      </c>
      <c r="B100" s="2">
        <v>20</v>
      </c>
    </row>
    <row r="101" spans="1:2" x14ac:dyDescent="0.35">
      <c r="A101" s="1">
        <v>45019</v>
      </c>
      <c r="B101" s="2">
        <v>93</v>
      </c>
    </row>
    <row r="102" spans="1:2" x14ac:dyDescent="0.35">
      <c r="A102" s="1">
        <v>45020</v>
      </c>
      <c r="B102" s="2">
        <v>116</v>
      </c>
    </row>
    <row r="103" spans="1:2" x14ac:dyDescent="0.35">
      <c r="A103" s="1">
        <v>45021</v>
      </c>
      <c r="B103" s="2">
        <v>129</v>
      </c>
    </row>
    <row r="104" spans="1:2" x14ac:dyDescent="0.35">
      <c r="A104" s="1">
        <v>45022</v>
      </c>
      <c r="B104" s="2">
        <v>108</v>
      </c>
    </row>
    <row r="105" spans="1:2" x14ac:dyDescent="0.35">
      <c r="A105" s="1">
        <v>45023</v>
      </c>
      <c r="B105" s="2">
        <v>71</v>
      </c>
    </row>
    <row r="106" spans="1:2" x14ac:dyDescent="0.35">
      <c r="A106" s="1">
        <v>45024</v>
      </c>
      <c r="B106" s="2">
        <v>31</v>
      </c>
    </row>
    <row r="107" spans="1:2" x14ac:dyDescent="0.35">
      <c r="A107" s="1">
        <v>45025</v>
      </c>
      <c r="B107" s="2">
        <v>22</v>
      </c>
    </row>
    <row r="108" spans="1:2" x14ac:dyDescent="0.35">
      <c r="A108" s="1">
        <v>45026</v>
      </c>
      <c r="B108" s="2">
        <v>66</v>
      </c>
    </row>
    <row r="109" spans="1:2" x14ac:dyDescent="0.35">
      <c r="A109" s="1">
        <v>45027</v>
      </c>
      <c r="B109" s="2">
        <v>91</v>
      </c>
    </row>
    <row r="110" spans="1:2" x14ac:dyDescent="0.35">
      <c r="A110" s="1">
        <v>45028</v>
      </c>
      <c r="B110" s="2">
        <v>152</v>
      </c>
    </row>
    <row r="111" spans="1:2" x14ac:dyDescent="0.35">
      <c r="A111" s="1">
        <v>45029</v>
      </c>
      <c r="B111" s="2">
        <v>120</v>
      </c>
    </row>
    <row r="112" spans="1:2" x14ac:dyDescent="0.35">
      <c r="A112" s="1">
        <v>45030</v>
      </c>
      <c r="B112" s="2">
        <v>105</v>
      </c>
    </row>
    <row r="113" spans="1:2" x14ac:dyDescent="0.35">
      <c r="A113" s="1">
        <v>45031</v>
      </c>
      <c r="B113" s="2">
        <v>43</v>
      </c>
    </row>
    <row r="114" spans="1:2" x14ac:dyDescent="0.35">
      <c r="A114" s="1">
        <v>45032</v>
      </c>
      <c r="B114" s="2">
        <v>9</v>
      </c>
    </row>
    <row r="115" spans="1:2" x14ac:dyDescent="0.35">
      <c r="A115" s="1">
        <v>45033</v>
      </c>
      <c r="B115" s="2">
        <v>105</v>
      </c>
    </row>
    <row r="116" spans="1:2" x14ac:dyDescent="0.35">
      <c r="A116" s="1">
        <v>45034</v>
      </c>
      <c r="B116" s="2">
        <v>143</v>
      </c>
    </row>
    <row r="117" spans="1:2" x14ac:dyDescent="0.35">
      <c r="A117" s="1">
        <v>45035</v>
      </c>
      <c r="B117" s="2">
        <v>118</v>
      </c>
    </row>
    <row r="118" spans="1:2" x14ac:dyDescent="0.35">
      <c r="A118" s="1">
        <v>45036</v>
      </c>
      <c r="B118" s="2">
        <v>90</v>
      </c>
    </row>
    <row r="119" spans="1:2" x14ac:dyDescent="0.35">
      <c r="A119" s="1">
        <v>45037</v>
      </c>
      <c r="B119" s="2">
        <v>140</v>
      </c>
    </row>
    <row r="120" spans="1:2" x14ac:dyDescent="0.35">
      <c r="A120" s="1">
        <v>45038</v>
      </c>
      <c r="B120" s="2">
        <v>29</v>
      </c>
    </row>
    <row r="121" spans="1:2" x14ac:dyDescent="0.35">
      <c r="A121" s="1">
        <v>45039</v>
      </c>
      <c r="B121" s="2">
        <v>21</v>
      </c>
    </row>
    <row r="122" spans="1:2" x14ac:dyDescent="0.35">
      <c r="A122" s="1">
        <v>45040</v>
      </c>
      <c r="B122" s="2">
        <v>96</v>
      </c>
    </row>
    <row r="123" spans="1:2" x14ac:dyDescent="0.35">
      <c r="A123" s="1">
        <v>45041</v>
      </c>
      <c r="B123" s="2">
        <v>129</v>
      </c>
    </row>
    <row r="124" spans="1:2" x14ac:dyDescent="0.35">
      <c r="A124" s="1">
        <v>45042</v>
      </c>
      <c r="B124" s="2">
        <v>137</v>
      </c>
    </row>
    <row r="125" spans="1:2" x14ac:dyDescent="0.35">
      <c r="A125" s="1">
        <v>45043</v>
      </c>
      <c r="B125" s="2">
        <v>133</v>
      </c>
    </row>
    <row r="126" spans="1:2" x14ac:dyDescent="0.35">
      <c r="A126" s="1">
        <v>45044</v>
      </c>
      <c r="B126" s="2">
        <v>144</v>
      </c>
    </row>
    <row r="127" spans="1:2" x14ac:dyDescent="0.35">
      <c r="A127" s="1">
        <v>45045</v>
      </c>
      <c r="B127" s="2">
        <v>51</v>
      </c>
    </row>
    <row r="128" spans="1:2" x14ac:dyDescent="0.35">
      <c r="A128" s="1">
        <v>45046</v>
      </c>
      <c r="B128" s="2">
        <v>39</v>
      </c>
    </row>
    <row r="129" spans="1:2" x14ac:dyDescent="0.35">
      <c r="A129" s="1">
        <v>45047</v>
      </c>
      <c r="B129" s="2">
        <v>71</v>
      </c>
    </row>
    <row r="130" spans="1:2" x14ac:dyDescent="0.35">
      <c r="A130" s="1">
        <v>45048</v>
      </c>
      <c r="B130" s="2">
        <v>145</v>
      </c>
    </row>
    <row r="131" spans="1:2" x14ac:dyDescent="0.35">
      <c r="A131" s="1">
        <v>45049</v>
      </c>
      <c r="B131" s="2">
        <v>123</v>
      </c>
    </row>
    <row r="132" spans="1:2" x14ac:dyDescent="0.35">
      <c r="A132" s="1">
        <v>45050</v>
      </c>
      <c r="B132" s="2">
        <v>117</v>
      </c>
    </row>
    <row r="133" spans="1:2" x14ac:dyDescent="0.35">
      <c r="A133" s="1">
        <v>45051</v>
      </c>
      <c r="B133" s="2">
        <v>152</v>
      </c>
    </row>
    <row r="134" spans="1:2" x14ac:dyDescent="0.35">
      <c r="A134" s="1">
        <v>45052</v>
      </c>
      <c r="B134" s="2">
        <v>47</v>
      </c>
    </row>
    <row r="135" spans="1:2" x14ac:dyDescent="0.35">
      <c r="A135" s="1">
        <v>45053</v>
      </c>
      <c r="B135" s="2">
        <v>31</v>
      </c>
    </row>
    <row r="136" spans="1:2" x14ac:dyDescent="0.35">
      <c r="A136" s="1">
        <v>45054</v>
      </c>
      <c r="B136" s="2">
        <v>115</v>
      </c>
    </row>
    <row r="137" spans="1:2" x14ac:dyDescent="0.35">
      <c r="A137" s="1">
        <v>45055</v>
      </c>
      <c r="B137" s="2">
        <v>166</v>
      </c>
    </row>
    <row r="138" spans="1:2" x14ac:dyDescent="0.35">
      <c r="A138" s="1">
        <v>45056</v>
      </c>
      <c r="B138" s="2">
        <v>122</v>
      </c>
    </row>
    <row r="139" spans="1:2" x14ac:dyDescent="0.35">
      <c r="A139" s="1">
        <v>45057</v>
      </c>
      <c r="B139" s="2">
        <v>153</v>
      </c>
    </row>
    <row r="140" spans="1:2" x14ac:dyDescent="0.35">
      <c r="A140" s="1">
        <v>45058</v>
      </c>
      <c r="B140" s="2">
        <v>143</v>
      </c>
    </row>
    <row r="141" spans="1:2" x14ac:dyDescent="0.35">
      <c r="A141" s="1">
        <v>45059</v>
      </c>
      <c r="B141" s="2">
        <v>50</v>
      </c>
    </row>
    <row r="142" spans="1:2" x14ac:dyDescent="0.35">
      <c r="A142" s="1">
        <v>45060</v>
      </c>
      <c r="B142" s="2">
        <v>20</v>
      </c>
    </row>
    <row r="143" spans="1:2" x14ac:dyDescent="0.35">
      <c r="A143" s="1">
        <v>45061</v>
      </c>
      <c r="B143" s="2">
        <v>135</v>
      </c>
    </row>
    <row r="144" spans="1:2" x14ac:dyDescent="0.35">
      <c r="A144" s="1">
        <v>45062</v>
      </c>
      <c r="B144" s="2">
        <v>122</v>
      </c>
    </row>
    <row r="145" spans="1:2" x14ac:dyDescent="0.35">
      <c r="A145" s="1">
        <v>45063</v>
      </c>
      <c r="B145" s="2">
        <v>141</v>
      </c>
    </row>
    <row r="146" spans="1:2" x14ac:dyDescent="0.35">
      <c r="A146" s="1">
        <v>45064</v>
      </c>
      <c r="B146" s="2">
        <v>33</v>
      </c>
    </row>
    <row r="147" spans="1:2" x14ac:dyDescent="0.35">
      <c r="A147" s="1">
        <v>45065</v>
      </c>
      <c r="B147" s="2">
        <v>8</v>
      </c>
    </row>
    <row r="148" spans="1:2" x14ac:dyDescent="0.35">
      <c r="A148" s="1">
        <v>45066</v>
      </c>
      <c r="B148" s="2">
        <v>6</v>
      </c>
    </row>
    <row r="149" spans="1:2" x14ac:dyDescent="0.35">
      <c r="A149" s="1">
        <v>45067</v>
      </c>
      <c r="B149" s="2">
        <v>1</v>
      </c>
    </row>
    <row r="150" spans="1:2" x14ac:dyDescent="0.35">
      <c r="A150" s="1">
        <v>45068</v>
      </c>
      <c r="B150" s="2">
        <v>1</v>
      </c>
    </row>
    <row r="151" spans="1:2" x14ac:dyDescent="0.35">
      <c r="A151" s="1">
        <v>45069</v>
      </c>
      <c r="B151" s="2">
        <v>1</v>
      </c>
    </row>
    <row r="152" spans="1:2" x14ac:dyDescent="0.35">
      <c r="A152" s="1">
        <v>45070</v>
      </c>
      <c r="B152" s="2">
        <v>92</v>
      </c>
    </row>
    <row r="153" spans="1:2" x14ac:dyDescent="0.35">
      <c r="A153" s="1">
        <v>45071</v>
      </c>
      <c r="B153" s="2">
        <v>156</v>
      </c>
    </row>
    <row r="154" spans="1:2" x14ac:dyDescent="0.35">
      <c r="A154" s="1">
        <v>45072</v>
      </c>
      <c r="B154" s="2">
        <v>140</v>
      </c>
    </row>
    <row r="155" spans="1:2" x14ac:dyDescent="0.35">
      <c r="A155" s="1">
        <v>45073</v>
      </c>
      <c r="B155" s="2">
        <v>57</v>
      </c>
    </row>
    <row r="156" spans="1:2" x14ac:dyDescent="0.35">
      <c r="A156" s="1">
        <v>45074</v>
      </c>
      <c r="B156" s="2">
        <v>21</v>
      </c>
    </row>
    <row r="157" spans="1:2" x14ac:dyDescent="0.35">
      <c r="A157" s="1">
        <v>45075</v>
      </c>
      <c r="B157" s="2">
        <v>57</v>
      </c>
    </row>
    <row r="158" spans="1:2" x14ac:dyDescent="0.35">
      <c r="A158" s="1">
        <v>45076</v>
      </c>
      <c r="B158" s="2">
        <v>99</v>
      </c>
    </row>
    <row r="159" spans="1:2" x14ac:dyDescent="0.35">
      <c r="A159" s="1">
        <v>45077</v>
      </c>
      <c r="B159" s="2">
        <v>121</v>
      </c>
    </row>
    <row r="160" spans="1:2" x14ac:dyDescent="0.35">
      <c r="A160" s="1">
        <v>45078</v>
      </c>
      <c r="B160" s="2">
        <v>109</v>
      </c>
    </row>
    <row r="161" spans="1:2" x14ac:dyDescent="0.35">
      <c r="A161" s="1">
        <v>45079</v>
      </c>
      <c r="B161" s="2">
        <v>126</v>
      </c>
    </row>
    <row r="162" spans="1:2" x14ac:dyDescent="0.35">
      <c r="A162" s="1">
        <v>45080</v>
      </c>
      <c r="B162" s="2">
        <v>44</v>
      </c>
    </row>
    <row r="163" spans="1:2" x14ac:dyDescent="0.35">
      <c r="A163" s="1">
        <v>45081</v>
      </c>
      <c r="B163" s="2">
        <v>16</v>
      </c>
    </row>
    <row r="164" spans="1:2" x14ac:dyDescent="0.35">
      <c r="A164" s="1">
        <v>45082</v>
      </c>
      <c r="B164" s="2">
        <v>126</v>
      </c>
    </row>
    <row r="165" spans="1:2" x14ac:dyDescent="0.35">
      <c r="A165" s="1">
        <v>45083</v>
      </c>
      <c r="B165" s="2">
        <v>144</v>
      </c>
    </row>
    <row r="166" spans="1:2" x14ac:dyDescent="0.35">
      <c r="A166" s="1">
        <v>45084</v>
      </c>
      <c r="B166" s="2">
        <v>140</v>
      </c>
    </row>
    <row r="167" spans="1:2" x14ac:dyDescent="0.35">
      <c r="A167" s="1">
        <v>45085</v>
      </c>
      <c r="B167" s="2">
        <v>117</v>
      </c>
    </row>
    <row r="168" spans="1:2" x14ac:dyDescent="0.35">
      <c r="A168" s="1">
        <v>45086</v>
      </c>
      <c r="B168" s="2">
        <v>121</v>
      </c>
    </row>
    <row r="169" spans="1:2" x14ac:dyDescent="0.35">
      <c r="A169" s="1">
        <v>45087</v>
      </c>
      <c r="B169" s="2">
        <v>54</v>
      </c>
    </row>
    <row r="170" spans="1:2" x14ac:dyDescent="0.35">
      <c r="A170" s="1">
        <v>45088</v>
      </c>
      <c r="B170" s="2">
        <v>13</v>
      </c>
    </row>
    <row r="171" spans="1:2" x14ac:dyDescent="0.35">
      <c r="A171" s="1">
        <v>45089</v>
      </c>
      <c r="B171" s="2">
        <v>141</v>
      </c>
    </row>
    <row r="172" spans="1:2" x14ac:dyDescent="0.35">
      <c r="A172" s="1">
        <v>45090</v>
      </c>
      <c r="B172" s="2">
        <v>100</v>
      </c>
    </row>
    <row r="173" spans="1:2" x14ac:dyDescent="0.35">
      <c r="A173" s="1">
        <v>45091</v>
      </c>
      <c r="B173" s="2">
        <v>157</v>
      </c>
    </row>
    <row r="174" spans="1:2" x14ac:dyDescent="0.35">
      <c r="A174" s="1">
        <v>45092</v>
      </c>
      <c r="B174" s="2">
        <v>159</v>
      </c>
    </row>
    <row r="175" spans="1:2" x14ac:dyDescent="0.35">
      <c r="A175" s="1">
        <v>45093</v>
      </c>
      <c r="B175" s="2">
        <v>121</v>
      </c>
    </row>
    <row r="176" spans="1:2" x14ac:dyDescent="0.35">
      <c r="A176" s="1">
        <v>45094</v>
      </c>
      <c r="B176" s="2">
        <v>39</v>
      </c>
    </row>
    <row r="177" spans="1:2" x14ac:dyDescent="0.35">
      <c r="A177" s="1">
        <v>45095</v>
      </c>
      <c r="B177" s="2">
        <v>28</v>
      </c>
    </row>
    <row r="178" spans="1:2" x14ac:dyDescent="0.35">
      <c r="A178" s="1">
        <v>45096</v>
      </c>
      <c r="B178" s="2">
        <v>96</v>
      </c>
    </row>
    <row r="179" spans="1:2" x14ac:dyDescent="0.35">
      <c r="A179" s="1">
        <v>45097</v>
      </c>
      <c r="B179" s="2">
        <v>137</v>
      </c>
    </row>
    <row r="180" spans="1:2" x14ac:dyDescent="0.35">
      <c r="A180" s="1">
        <v>45098</v>
      </c>
      <c r="B180" s="2">
        <v>146</v>
      </c>
    </row>
    <row r="181" spans="1:2" x14ac:dyDescent="0.35">
      <c r="A181" s="1">
        <v>45099</v>
      </c>
      <c r="B181" s="2">
        <v>152</v>
      </c>
    </row>
    <row r="182" spans="1:2" x14ac:dyDescent="0.35">
      <c r="A182" s="1">
        <v>45100</v>
      </c>
      <c r="B182" s="2">
        <v>148</v>
      </c>
    </row>
    <row r="183" spans="1:2" x14ac:dyDescent="0.35">
      <c r="A183" s="1">
        <v>45101</v>
      </c>
      <c r="B183" s="2">
        <v>53</v>
      </c>
    </row>
    <row r="184" spans="1:2" x14ac:dyDescent="0.35">
      <c r="A184" s="1">
        <v>45102</v>
      </c>
      <c r="B184" s="2">
        <v>28</v>
      </c>
    </row>
    <row r="185" spans="1:2" x14ac:dyDescent="0.35">
      <c r="A185" s="1">
        <v>45103</v>
      </c>
      <c r="B185" s="2">
        <v>134</v>
      </c>
    </row>
    <row r="186" spans="1:2" x14ac:dyDescent="0.35">
      <c r="A186" s="1">
        <v>45104</v>
      </c>
      <c r="B186" s="2">
        <v>176</v>
      </c>
    </row>
    <row r="187" spans="1:2" x14ac:dyDescent="0.35">
      <c r="A187" s="1">
        <v>45105</v>
      </c>
      <c r="B187" s="2">
        <v>142</v>
      </c>
    </row>
    <row r="188" spans="1:2" x14ac:dyDescent="0.35">
      <c r="A188" s="1">
        <v>45106</v>
      </c>
      <c r="B188" s="2">
        <v>144</v>
      </c>
    </row>
    <row r="189" spans="1:2" x14ac:dyDescent="0.35">
      <c r="A189" s="1">
        <v>45107</v>
      </c>
      <c r="B189" s="2">
        <v>123</v>
      </c>
    </row>
    <row r="190" spans="1:2" x14ac:dyDescent="0.35">
      <c r="A190" s="1">
        <v>45108</v>
      </c>
      <c r="B190" s="2">
        <v>63</v>
      </c>
    </row>
    <row r="191" spans="1:2" x14ac:dyDescent="0.35">
      <c r="A191" s="1">
        <v>45109</v>
      </c>
      <c r="B191" s="2">
        <v>21</v>
      </c>
    </row>
    <row r="192" spans="1:2" x14ac:dyDescent="0.35">
      <c r="A192" s="1">
        <v>45110</v>
      </c>
      <c r="B192" s="2">
        <v>89</v>
      </c>
    </row>
    <row r="193" spans="1:2" x14ac:dyDescent="0.35">
      <c r="A193" s="1">
        <v>45111</v>
      </c>
      <c r="B193" s="2">
        <v>92</v>
      </c>
    </row>
    <row r="194" spans="1:2" x14ac:dyDescent="0.35">
      <c r="A194" s="1">
        <v>45112</v>
      </c>
      <c r="B194" s="2">
        <v>131</v>
      </c>
    </row>
    <row r="195" spans="1:2" x14ac:dyDescent="0.35">
      <c r="A195" s="1">
        <v>45113</v>
      </c>
      <c r="B195" s="2">
        <v>146</v>
      </c>
    </row>
    <row r="196" spans="1:2" x14ac:dyDescent="0.35">
      <c r="A196" s="1">
        <v>45114</v>
      </c>
      <c r="B196" s="2">
        <v>132</v>
      </c>
    </row>
    <row r="197" spans="1:2" x14ac:dyDescent="0.35">
      <c r="A197" s="1">
        <v>45115</v>
      </c>
      <c r="B197" s="2">
        <v>64</v>
      </c>
    </row>
    <row r="198" spans="1:2" x14ac:dyDescent="0.35">
      <c r="A198" s="1">
        <v>45116</v>
      </c>
      <c r="B198" s="2">
        <v>29</v>
      </c>
    </row>
    <row r="199" spans="1:2" x14ac:dyDescent="0.35">
      <c r="A199" s="1">
        <v>45117</v>
      </c>
      <c r="B199" s="2">
        <v>102</v>
      </c>
    </row>
    <row r="200" spans="1:2" x14ac:dyDescent="0.35">
      <c r="A200" s="1">
        <v>45118</v>
      </c>
      <c r="B200" s="2">
        <v>141</v>
      </c>
    </row>
    <row r="201" spans="1:2" x14ac:dyDescent="0.35">
      <c r="A201" s="1">
        <v>45119</v>
      </c>
      <c r="B201" s="2">
        <v>133</v>
      </c>
    </row>
    <row r="202" spans="1:2" x14ac:dyDescent="0.35">
      <c r="A202" s="1">
        <v>45120</v>
      </c>
      <c r="B202" s="2">
        <v>123</v>
      </c>
    </row>
    <row r="203" spans="1:2" x14ac:dyDescent="0.35">
      <c r="A203" s="1">
        <v>45121</v>
      </c>
      <c r="B203" s="2">
        <v>143</v>
      </c>
    </row>
    <row r="204" spans="1:2" x14ac:dyDescent="0.35">
      <c r="A204" s="1">
        <v>45122</v>
      </c>
      <c r="B204" s="2">
        <v>47</v>
      </c>
    </row>
    <row r="205" spans="1:2" x14ac:dyDescent="0.35">
      <c r="A205" s="1">
        <v>45123</v>
      </c>
      <c r="B205" s="2">
        <v>14</v>
      </c>
    </row>
    <row r="206" spans="1:2" x14ac:dyDescent="0.35">
      <c r="A206" s="1">
        <v>45124</v>
      </c>
      <c r="B206" s="2">
        <v>134</v>
      </c>
    </row>
    <row r="207" spans="1:2" x14ac:dyDescent="0.35">
      <c r="A207" s="1">
        <v>45125</v>
      </c>
      <c r="B207" s="2">
        <v>119</v>
      </c>
    </row>
    <row r="208" spans="1:2" x14ac:dyDescent="0.35">
      <c r="A208" s="1">
        <v>45126</v>
      </c>
      <c r="B208" s="2">
        <v>133</v>
      </c>
    </row>
    <row r="209" spans="1:2" x14ac:dyDescent="0.35">
      <c r="A209" s="1">
        <v>45127</v>
      </c>
      <c r="B209" s="2">
        <v>135</v>
      </c>
    </row>
    <row r="210" spans="1:2" x14ac:dyDescent="0.35">
      <c r="A210" s="1">
        <v>45128</v>
      </c>
      <c r="B210" s="2">
        <v>109</v>
      </c>
    </row>
    <row r="211" spans="1:2" x14ac:dyDescent="0.35">
      <c r="A211" s="1">
        <v>45129</v>
      </c>
      <c r="B211" s="2">
        <v>56</v>
      </c>
    </row>
    <row r="212" spans="1:2" x14ac:dyDescent="0.35">
      <c r="A212" s="1">
        <v>45130</v>
      </c>
      <c r="B212" s="2">
        <v>33</v>
      </c>
    </row>
    <row r="213" spans="1:2" x14ac:dyDescent="0.35">
      <c r="A213" s="1">
        <v>45131</v>
      </c>
      <c r="B213" s="2">
        <v>98</v>
      </c>
    </row>
    <row r="214" spans="1:2" x14ac:dyDescent="0.35">
      <c r="A214" s="1">
        <v>45132</v>
      </c>
      <c r="B214" s="2">
        <v>133</v>
      </c>
    </row>
    <row r="215" spans="1:2" x14ac:dyDescent="0.35">
      <c r="A215" s="1">
        <v>45133</v>
      </c>
      <c r="B215" s="2">
        <v>136</v>
      </c>
    </row>
    <row r="216" spans="1:2" x14ac:dyDescent="0.35">
      <c r="A216" s="1">
        <v>45134</v>
      </c>
      <c r="B216" s="2">
        <v>95</v>
      </c>
    </row>
    <row r="217" spans="1:2" x14ac:dyDescent="0.35">
      <c r="A217" s="1">
        <v>45135</v>
      </c>
      <c r="B217" s="2">
        <v>90</v>
      </c>
    </row>
    <row r="218" spans="1:2" x14ac:dyDescent="0.35">
      <c r="A218" s="1">
        <v>45136</v>
      </c>
      <c r="B218" s="2">
        <v>33</v>
      </c>
    </row>
    <row r="219" spans="1:2" x14ac:dyDescent="0.35">
      <c r="A219" s="1">
        <v>45137</v>
      </c>
      <c r="B219" s="2">
        <v>23</v>
      </c>
    </row>
    <row r="220" spans="1:2" x14ac:dyDescent="0.35">
      <c r="A220" s="1">
        <v>45138</v>
      </c>
      <c r="B220" s="2">
        <v>86</v>
      </c>
    </row>
    <row r="221" spans="1:2" x14ac:dyDescent="0.35">
      <c r="A221" s="1">
        <v>45139</v>
      </c>
      <c r="B221" s="2">
        <v>73</v>
      </c>
    </row>
    <row r="222" spans="1:2" x14ac:dyDescent="0.35">
      <c r="A222" s="1">
        <v>45140</v>
      </c>
      <c r="B222" s="2">
        <v>87</v>
      </c>
    </row>
    <row r="223" spans="1:2" x14ac:dyDescent="0.35">
      <c r="A223" s="1">
        <v>45141</v>
      </c>
      <c r="B223" s="2">
        <v>88</v>
      </c>
    </row>
    <row r="224" spans="1:2" x14ac:dyDescent="0.35">
      <c r="A224" s="1">
        <v>45142</v>
      </c>
      <c r="B224" s="2">
        <v>106</v>
      </c>
    </row>
    <row r="225" spans="1:2" x14ac:dyDescent="0.35">
      <c r="A225" s="1">
        <v>45143</v>
      </c>
      <c r="B225" s="2">
        <v>54</v>
      </c>
    </row>
    <row r="226" spans="1:2" x14ac:dyDescent="0.35">
      <c r="A226" s="1">
        <v>45144</v>
      </c>
      <c r="B226" s="2">
        <v>33</v>
      </c>
    </row>
    <row r="227" spans="1:2" x14ac:dyDescent="0.35">
      <c r="A227" s="1">
        <v>45145</v>
      </c>
      <c r="B227" s="2">
        <v>149</v>
      </c>
    </row>
    <row r="228" spans="1:2" x14ac:dyDescent="0.35">
      <c r="A228" s="1">
        <v>45146</v>
      </c>
      <c r="B228" s="2">
        <v>181</v>
      </c>
    </row>
    <row r="229" spans="1:2" x14ac:dyDescent="0.35">
      <c r="A229" s="1">
        <v>45147</v>
      </c>
      <c r="B229" s="2">
        <v>121</v>
      </c>
    </row>
    <row r="230" spans="1:2" x14ac:dyDescent="0.35">
      <c r="A230" s="1">
        <v>45148</v>
      </c>
      <c r="B230" s="2">
        <v>125</v>
      </c>
    </row>
    <row r="231" spans="1:2" x14ac:dyDescent="0.35">
      <c r="A231" s="1">
        <v>45149</v>
      </c>
      <c r="B231" s="2">
        <v>116</v>
      </c>
    </row>
    <row r="232" spans="1:2" x14ac:dyDescent="0.35">
      <c r="A232" s="1">
        <v>45150</v>
      </c>
      <c r="B232" s="2">
        <v>76</v>
      </c>
    </row>
    <row r="233" spans="1:2" x14ac:dyDescent="0.35">
      <c r="A233" s="1">
        <v>45151</v>
      </c>
      <c r="B233" s="2">
        <v>84</v>
      </c>
    </row>
    <row r="234" spans="1:2" x14ac:dyDescent="0.35">
      <c r="A234" s="1">
        <v>45152</v>
      </c>
      <c r="B234" s="2">
        <v>148</v>
      </c>
    </row>
    <row r="235" spans="1:2" x14ac:dyDescent="0.35">
      <c r="A235" s="1">
        <v>45153</v>
      </c>
      <c r="B235" s="2">
        <v>150</v>
      </c>
    </row>
    <row r="236" spans="1:2" x14ac:dyDescent="0.35">
      <c r="A236" s="1">
        <v>45154</v>
      </c>
      <c r="B236" s="2">
        <v>167</v>
      </c>
    </row>
    <row r="237" spans="1:2" x14ac:dyDescent="0.35">
      <c r="A237" s="1">
        <v>45155</v>
      </c>
      <c r="B237" s="2">
        <v>141</v>
      </c>
    </row>
    <row r="238" spans="1:2" x14ac:dyDescent="0.35">
      <c r="A238" s="1">
        <v>45156</v>
      </c>
      <c r="B238" s="2">
        <v>145</v>
      </c>
    </row>
    <row r="239" spans="1:2" x14ac:dyDescent="0.35">
      <c r="A239" s="1">
        <v>45157</v>
      </c>
      <c r="B239" s="2">
        <v>101</v>
      </c>
    </row>
    <row r="240" spans="1:2" x14ac:dyDescent="0.35">
      <c r="A240" s="1">
        <v>45158</v>
      </c>
      <c r="B240" s="2">
        <v>41</v>
      </c>
    </row>
    <row r="241" spans="1:2" x14ac:dyDescent="0.35">
      <c r="A241" s="1">
        <v>45159</v>
      </c>
      <c r="B241" s="2">
        <v>146</v>
      </c>
    </row>
    <row r="242" spans="1:2" x14ac:dyDescent="0.35">
      <c r="A242" s="1">
        <v>45160</v>
      </c>
      <c r="B242" s="2">
        <v>140</v>
      </c>
    </row>
    <row r="243" spans="1:2" x14ac:dyDescent="0.35">
      <c r="A243" s="1">
        <v>45161</v>
      </c>
      <c r="B243" s="2">
        <v>145</v>
      </c>
    </row>
    <row r="244" spans="1:2" x14ac:dyDescent="0.35">
      <c r="A244" s="1">
        <v>45162</v>
      </c>
      <c r="B244" s="2">
        <v>127</v>
      </c>
    </row>
    <row r="245" spans="1:2" x14ac:dyDescent="0.35">
      <c r="A245" s="1">
        <v>45163</v>
      </c>
      <c r="B245" s="2">
        <v>126</v>
      </c>
    </row>
    <row r="246" spans="1:2" x14ac:dyDescent="0.35">
      <c r="A246" s="1">
        <v>45164</v>
      </c>
      <c r="B246" s="2">
        <v>60</v>
      </c>
    </row>
    <row r="247" spans="1:2" x14ac:dyDescent="0.35">
      <c r="A247" s="1">
        <v>45165</v>
      </c>
      <c r="B247" s="2">
        <v>69</v>
      </c>
    </row>
    <row r="248" spans="1:2" x14ac:dyDescent="0.35">
      <c r="A248" s="1">
        <v>45166</v>
      </c>
      <c r="B248" s="2">
        <v>136</v>
      </c>
    </row>
    <row r="249" spans="1:2" x14ac:dyDescent="0.35">
      <c r="A249" s="1">
        <v>45167</v>
      </c>
      <c r="B249" s="2">
        <v>134</v>
      </c>
    </row>
    <row r="250" spans="1:2" x14ac:dyDescent="0.35">
      <c r="A250" s="1">
        <v>45168</v>
      </c>
      <c r="B250" s="2">
        <v>160</v>
      </c>
    </row>
    <row r="251" spans="1:2" x14ac:dyDescent="0.35">
      <c r="A251" s="1">
        <v>45169</v>
      </c>
      <c r="B251" s="2">
        <v>125</v>
      </c>
    </row>
    <row r="252" spans="1:2" x14ac:dyDescent="0.35">
      <c r="A252" s="1">
        <v>45170</v>
      </c>
      <c r="B252" s="2">
        <v>132</v>
      </c>
    </row>
    <row r="253" spans="1:2" x14ac:dyDescent="0.35">
      <c r="A253" s="1">
        <v>45171</v>
      </c>
      <c r="B253" s="2">
        <v>99</v>
      </c>
    </row>
    <row r="254" spans="1:2" x14ac:dyDescent="0.35">
      <c r="A254" s="1">
        <v>45172</v>
      </c>
      <c r="B254" s="2">
        <v>68</v>
      </c>
    </row>
    <row r="255" spans="1:2" x14ac:dyDescent="0.35">
      <c r="A255" s="1">
        <v>45173</v>
      </c>
      <c r="B255" s="2">
        <v>110</v>
      </c>
    </row>
    <row r="256" spans="1:2" x14ac:dyDescent="0.35">
      <c r="A256" s="1">
        <v>45174</v>
      </c>
      <c r="B256" s="2">
        <v>136</v>
      </c>
    </row>
    <row r="257" spans="1:2" x14ac:dyDescent="0.35">
      <c r="A257" s="1">
        <v>45175</v>
      </c>
      <c r="B257" s="2">
        <v>110</v>
      </c>
    </row>
    <row r="258" spans="1:2" x14ac:dyDescent="0.35">
      <c r="A258" s="1">
        <v>45176</v>
      </c>
      <c r="B258" s="2">
        <v>80</v>
      </c>
    </row>
    <row r="259" spans="1:2" x14ac:dyDescent="0.35">
      <c r="A259" s="1">
        <v>45177</v>
      </c>
      <c r="B259" s="2">
        <v>61</v>
      </c>
    </row>
    <row r="260" spans="1:2" x14ac:dyDescent="0.35">
      <c r="A260" s="1">
        <v>45178</v>
      </c>
      <c r="B260" s="2">
        <v>54</v>
      </c>
    </row>
    <row r="261" spans="1:2" x14ac:dyDescent="0.35">
      <c r="A261" s="1">
        <v>45179</v>
      </c>
      <c r="B261" s="2">
        <v>39</v>
      </c>
    </row>
    <row r="262" spans="1:2" x14ac:dyDescent="0.35">
      <c r="A262" s="1">
        <v>45180</v>
      </c>
      <c r="B262" s="2">
        <v>81</v>
      </c>
    </row>
    <row r="263" spans="1:2" x14ac:dyDescent="0.35">
      <c r="A263" s="1">
        <v>45181</v>
      </c>
      <c r="B263" s="2">
        <v>90</v>
      </c>
    </row>
    <row r="264" spans="1:2" x14ac:dyDescent="0.35">
      <c r="A264" s="1">
        <v>45182</v>
      </c>
      <c r="B264" s="2">
        <v>74</v>
      </c>
    </row>
    <row r="265" spans="1:2" x14ac:dyDescent="0.35">
      <c r="A265" s="1">
        <v>45183</v>
      </c>
      <c r="B265" s="2">
        <v>45</v>
      </c>
    </row>
    <row r="266" spans="1:2" x14ac:dyDescent="0.35">
      <c r="A266" s="1">
        <v>45184</v>
      </c>
      <c r="B266" s="2">
        <v>94</v>
      </c>
    </row>
    <row r="267" spans="1:2" x14ac:dyDescent="0.35">
      <c r="A267" s="1">
        <v>45185</v>
      </c>
      <c r="B267" s="2">
        <v>66</v>
      </c>
    </row>
    <row r="268" spans="1:2" x14ac:dyDescent="0.35">
      <c r="A268" s="1">
        <v>45186</v>
      </c>
      <c r="B268" s="2">
        <v>52</v>
      </c>
    </row>
    <row r="269" spans="1:2" x14ac:dyDescent="0.35">
      <c r="A269" s="1">
        <v>45187</v>
      </c>
      <c r="B269" s="2">
        <v>198</v>
      </c>
    </row>
    <row r="270" spans="1:2" x14ac:dyDescent="0.35">
      <c r="A270" s="1">
        <v>45188</v>
      </c>
      <c r="B270" s="2">
        <v>127</v>
      </c>
    </row>
    <row r="271" spans="1:2" x14ac:dyDescent="0.35">
      <c r="A271" s="1">
        <v>45189</v>
      </c>
      <c r="B271" s="2">
        <v>116</v>
      </c>
    </row>
    <row r="272" spans="1:2" x14ac:dyDescent="0.35">
      <c r="A272" s="1">
        <v>45190</v>
      </c>
      <c r="B272" s="2">
        <v>107</v>
      </c>
    </row>
    <row r="273" spans="1:2" x14ac:dyDescent="0.35">
      <c r="A273" s="1">
        <v>45191</v>
      </c>
      <c r="B273" s="2">
        <v>90</v>
      </c>
    </row>
    <row r="274" spans="1:2" x14ac:dyDescent="0.35">
      <c r="A274" s="1">
        <v>45192</v>
      </c>
      <c r="B274" s="2">
        <v>48</v>
      </c>
    </row>
    <row r="275" spans="1:2" x14ac:dyDescent="0.35">
      <c r="A275" s="1">
        <v>45193</v>
      </c>
      <c r="B275" s="2">
        <v>28</v>
      </c>
    </row>
    <row r="276" spans="1:2" x14ac:dyDescent="0.35">
      <c r="A276" s="1">
        <v>45194</v>
      </c>
      <c r="B276" s="2">
        <v>108</v>
      </c>
    </row>
    <row r="277" spans="1:2" x14ac:dyDescent="0.35">
      <c r="A277" s="1">
        <v>45195</v>
      </c>
      <c r="B277" s="2">
        <v>79</v>
      </c>
    </row>
    <row r="278" spans="1:2" x14ac:dyDescent="0.35">
      <c r="A278" s="1">
        <v>45196</v>
      </c>
      <c r="B278" s="2">
        <v>108</v>
      </c>
    </row>
    <row r="279" spans="1:2" x14ac:dyDescent="0.35">
      <c r="A279" s="1">
        <v>45197</v>
      </c>
      <c r="B279" s="2">
        <v>83</v>
      </c>
    </row>
    <row r="280" spans="1:2" x14ac:dyDescent="0.35">
      <c r="A280" s="1">
        <v>45198</v>
      </c>
      <c r="B280" s="2">
        <v>115</v>
      </c>
    </row>
    <row r="281" spans="1:2" x14ac:dyDescent="0.35">
      <c r="A281" s="1">
        <v>45199</v>
      </c>
      <c r="B281" s="2">
        <v>43</v>
      </c>
    </row>
    <row r="282" spans="1:2" x14ac:dyDescent="0.35">
      <c r="A282" s="1">
        <v>45200</v>
      </c>
      <c r="B282" s="2">
        <v>71</v>
      </c>
    </row>
    <row r="283" spans="1:2" x14ac:dyDescent="0.35">
      <c r="A283" s="1">
        <v>45201</v>
      </c>
      <c r="B283" s="2">
        <v>95</v>
      </c>
    </row>
    <row r="284" spans="1:2" x14ac:dyDescent="0.35">
      <c r="A284" s="1">
        <v>45202</v>
      </c>
      <c r="B284" s="2">
        <v>99</v>
      </c>
    </row>
    <row r="285" spans="1:2" x14ac:dyDescent="0.35">
      <c r="A285" s="1">
        <v>45203</v>
      </c>
      <c r="B285" s="2">
        <v>105</v>
      </c>
    </row>
    <row r="286" spans="1:2" x14ac:dyDescent="0.35">
      <c r="A286" s="1">
        <v>45204</v>
      </c>
      <c r="B286" s="2">
        <v>98</v>
      </c>
    </row>
    <row r="287" spans="1:2" x14ac:dyDescent="0.35">
      <c r="A287" s="1">
        <v>45205</v>
      </c>
      <c r="B287" s="2">
        <v>101</v>
      </c>
    </row>
    <row r="288" spans="1:2" x14ac:dyDescent="0.35">
      <c r="A288" s="1">
        <v>45206</v>
      </c>
      <c r="B288" s="2">
        <v>30</v>
      </c>
    </row>
    <row r="289" spans="1:2" x14ac:dyDescent="0.35">
      <c r="A289" s="1">
        <v>45207</v>
      </c>
      <c r="B289" s="2">
        <v>53</v>
      </c>
    </row>
    <row r="290" spans="1:2" x14ac:dyDescent="0.35">
      <c r="A290" s="1">
        <v>45208</v>
      </c>
      <c r="B290" s="2">
        <v>89</v>
      </c>
    </row>
    <row r="291" spans="1:2" x14ac:dyDescent="0.35">
      <c r="A291" s="1">
        <v>45209</v>
      </c>
      <c r="B291" s="2">
        <v>105</v>
      </c>
    </row>
    <row r="292" spans="1:2" x14ac:dyDescent="0.35">
      <c r="A292" s="1">
        <v>45210</v>
      </c>
      <c r="B292" s="2">
        <v>107</v>
      </c>
    </row>
    <row r="293" spans="1:2" x14ac:dyDescent="0.35">
      <c r="A293" s="1">
        <v>45211</v>
      </c>
      <c r="B293" s="2">
        <v>119</v>
      </c>
    </row>
    <row r="294" spans="1:2" x14ac:dyDescent="0.35">
      <c r="A294" s="1">
        <v>45212</v>
      </c>
      <c r="B294" s="2">
        <v>113</v>
      </c>
    </row>
    <row r="295" spans="1:2" x14ac:dyDescent="0.35">
      <c r="A295" s="1">
        <v>45213</v>
      </c>
      <c r="B295" s="2">
        <v>34</v>
      </c>
    </row>
    <row r="296" spans="1:2" x14ac:dyDescent="0.35">
      <c r="A296" s="1">
        <v>45214</v>
      </c>
      <c r="B296" s="2">
        <v>66</v>
      </c>
    </row>
    <row r="297" spans="1:2" x14ac:dyDescent="0.35">
      <c r="A297" s="1">
        <v>45215</v>
      </c>
      <c r="B297" s="2">
        <v>109</v>
      </c>
    </row>
    <row r="298" spans="1:2" x14ac:dyDescent="0.35">
      <c r="A298" s="1">
        <v>45216</v>
      </c>
      <c r="B298" s="2">
        <v>92</v>
      </c>
    </row>
    <row r="299" spans="1:2" x14ac:dyDescent="0.35">
      <c r="A299" s="1">
        <v>45217</v>
      </c>
      <c r="B299" s="2">
        <v>95</v>
      </c>
    </row>
    <row r="300" spans="1:2" x14ac:dyDescent="0.35">
      <c r="A300" s="1">
        <v>45218</v>
      </c>
      <c r="B300" s="2">
        <v>83</v>
      </c>
    </row>
    <row r="301" spans="1:2" x14ac:dyDescent="0.35">
      <c r="A301" s="1">
        <v>45219</v>
      </c>
      <c r="B301" s="2">
        <v>79</v>
      </c>
    </row>
    <row r="302" spans="1:2" x14ac:dyDescent="0.35">
      <c r="A302" s="1">
        <v>45220</v>
      </c>
      <c r="B302" s="2">
        <v>38</v>
      </c>
    </row>
    <row r="303" spans="1:2" x14ac:dyDescent="0.35">
      <c r="A303" s="1">
        <v>45221</v>
      </c>
      <c r="B303" s="2">
        <v>36</v>
      </c>
    </row>
    <row r="304" spans="1:2" x14ac:dyDescent="0.35">
      <c r="A304" s="1">
        <v>45222</v>
      </c>
      <c r="B304" s="2">
        <v>76</v>
      </c>
    </row>
    <row r="305" spans="1:2" x14ac:dyDescent="0.35">
      <c r="A305" s="1">
        <v>45223</v>
      </c>
      <c r="B305" s="2">
        <v>76</v>
      </c>
    </row>
    <row r="306" spans="1:2" x14ac:dyDescent="0.35">
      <c r="A306" s="1">
        <v>45224</v>
      </c>
      <c r="B306" s="2">
        <v>83</v>
      </c>
    </row>
    <row r="307" spans="1:2" x14ac:dyDescent="0.35">
      <c r="A307" s="1">
        <v>45225</v>
      </c>
      <c r="B307" s="2">
        <v>127</v>
      </c>
    </row>
    <row r="308" spans="1:2" x14ac:dyDescent="0.35">
      <c r="A308" s="1">
        <v>45226</v>
      </c>
      <c r="B308" s="2">
        <v>62</v>
      </c>
    </row>
    <row r="309" spans="1:2" x14ac:dyDescent="0.35">
      <c r="A309" s="1">
        <v>45227</v>
      </c>
      <c r="B309" s="2">
        <v>42</v>
      </c>
    </row>
    <row r="310" spans="1:2" x14ac:dyDescent="0.35">
      <c r="A310" s="1">
        <v>45228</v>
      </c>
      <c r="B310" s="2">
        <v>42</v>
      </c>
    </row>
    <row r="311" spans="1:2" x14ac:dyDescent="0.35">
      <c r="A311" s="1">
        <v>45229</v>
      </c>
      <c r="B311" s="2">
        <v>125</v>
      </c>
    </row>
    <row r="312" spans="1:2" x14ac:dyDescent="0.35">
      <c r="A312" s="1">
        <v>45230</v>
      </c>
      <c r="B312" s="2">
        <v>102</v>
      </c>
    </row>
    <row r="313" spans="1:2" x14ac:dyDescent="0.35">
      <c r="A313" s="1">
        <v>45231</v>
      </c>
      <c r="B313" s="2">
        <v>74</v>
      </c>
    </row>
    <row r="314" spans="1:2" x14ac:dyDescent="0.35">
      <c r="A314" s="1">
        <v>45232</v>
      </c>
      <c r="B314" s="2">
        <v>90</v>
      </c>
    </row>
    <row r="315" spans="1:2" x14ac:dyDescent="0.35">
      <c r="A315" s="1">
        <v>45233</v>
      </c>
      <c r="B315" s="2">
        <v>76</v>
      </c>
    </row>
    <row r="316" spans="1:2" x14ac:dyDescent="0.35">
      <c r="A316" s="1">
        <v>45234</v>
      </c>
      <c r="B316" s="2">
        <v>45</v>
      </c>
    </row>
    <row r="317" spans="1:2" x14ac:dyDescent="0.35">
      <c r="A317" s="1">
        <v>45235</v>
      </c>
      <c r="B317" s="2">
        <v>60</v>
      </c>
    </row>
    <row r="318" spans="1:2" x14ac:dyDescent="0.35">
      <c r="A318" s="1">
        <v>45236</v>
      </c>
      <c r="B318" s="2">
        <v>64</v>
      </c>
    </row>
    <row r="319" spans="1:2" x14ac:dyDescent="0.35">
      <c r="A319" s="1">
        <v>45237</v>
      </c>
      <c r="B319" s="2">
        <v>84</v>
      </c>
    </row>
    <row r="320" spans="1:2" x14ac:dyDescent="0.35">
      <c r="A320" s="1">
        <v>45238</v>
      </c>
      <c r="B320" s="2">
        <v>83</v>
      </c>
    </row>
    <row r="321" spans="1:2" x14ac:dyDescent="0.35">
      <c r="A321" s="1">
        <v>45239</v>
      </c>
      <c r="B321" s="2">
        <v>98</v>
      </c>
    </row>
    <row r="322" spans="1:2" x14ac:dyDescent="0.35">
      <c r="A322" s="1">
        <v>45240</v>
      </c>
      <c r="B322" s="2">
        <v>76</v>
      </c>
    </row>
    <row r="323" spans="1:2" x14ac:dyDescent="0.35">
      <c r="A323" s="1">
        <v>45241</v>
      </c>
      <c r="B323" s="2">
        <v>46</v>
      </c>
    </row>
    <row r="324" spans="1:2" x14ac:dyDescent="0.35">
      <c r="A324" s="1">
        <v>45242</v>
      </c>
      <c r="B324" s="2">
        <v>49</v>
      </c>
    </row>
    <row r="325" spans="1:2" x14ac:dyDescent="0.35">
      <c r="A325" s="1">
        <v>45243</v>
      </c>
      <c r="B325" s="2">
        <v>51</v>
      </c>
    </row>
    <row r="326" spans="1:2" x14ac:dyDescent="0.35">
      <c r="A326" s="1">
        <v>45244</v>
      </c>
      <c r="B326" s="2">
        <v>64</v>
      </c>
    </row>
    <row r="327" spans="1:2" x14ac:dyDescent="0.35">
      <c r="A327" s="1">
        <v>45245</v>
      </c>
      <c r="B327" s="2">
        <v>89</v>
      </c>
    </row>
    <row r="328" spans="1:2" x14ac:dyDescent="0.35">
      <c r="A328" s="1">
        <v>45246</v>
      </c>
      <c r="B328" s="2">
        <v>79</v>
      </c>
    </row>
    <row r="329" spans="1:2" x14ac:dyDescent="0.35">
      <c r="A329" s="1">
        <v>45247</v>
      </c>
      <c r="B329" s="2">
        <v>93</v>
      </c>
    </row>
    <row r="330" spans="1:2" x14ac:dyDescent="0.35">
      <c r="A330" s="1">
        <v>45248</v>
      </c>
      <c r="B330" s="2">
        <v>83</v>
      </c>
    </row>
    <row r="331" spans="1:2" x14ac:dyDescent="0.35">
      <c r="A331" s="1">
        <v>45249</v>
      </c>
      <c r="B331" s="2">
        <v>25</v>
      </c>
    </row>
    <row r="332" spans="1:2" x14ac:dyDescent="0.35">
      <c r="A332" s="1">
        <v>45250</v>
      </c>
      <c r="B332" s="2">
        <v>48</v>
      </c>
    </row>
    <row r="333" spans="1:2" x14ac:dyDescent="0.35">
      <c r="A333" s="1">
        <v>45251</v>
      </c>
      <c r="B333" s="2">
        <v>68</v>
      </c>
    </row>
    <row r="334" spans="1:2" x14ac:dyDescent="0.35">
      <c r="A334" s="1">
        <v>45252</v>
      </c>
      <c r="B334" s="2">
        <v>65</v>
      </c>
    </row>
    <row r="335" spans="1:2" x14ac:dyDescent="0.35">
      <c r="A335" s="1">
        <v>45253</v>
      </c>
      <c r="B335" s="2">
        <v>39</v>
      </c>
    </row>
    <row r="336" spans="1:2" x14ac:dyDescent="0.35">
      <c r="A336" s="1">
        <v>45254</v>
      </c>
      <c r="B336" s="2">
        <v>63</v>
      </c>
    </row>
    <row r="337" spans="1:2" x14ac:dyDescent="0.35">
      <c r="A337" s="1">
        <v>45255</v>
      </c>
      <c r="B337" s="2">
        <v>30</v>
      </c>
    </row>
    <row r="338" spans="1:2" x14ac:dyDescent="0.35">
      <c r="A338" s="1">
        <v>45256</v>
      </c>
      <c r="B338" s="2">
        <v>45</v>
      </c>
    </row>
    <row r="339" spans="1:2" x14ac:dyDescent="0.35">
      <c r="A339" s="1">
        <v>45257</v>
      </c>
      <c r="B339" s="2">
        <v>46</v>
      </c>
    </row>
    <row r="340" spans="1:2" x14ac:dyDescent="0.35">
      <c r="A340" s="1">
        <v>45258</v>
      </c>
      <c r="B340" s="2">
        <v>78</v>
      </c>
    </row>
    <row r="341" spans="1:2" x14ac:dyDescent="0.35">
      <c r="A341" s="1">
        <v>45259</v>
      </c>
      <c r="B341" s="2">
        <v>70</v>
      </c>
    </row>
    <row r="342" spans="1:2" x14ac:dyDescent="0.35">
      <c r="A342" s="1">
        <v>45260</v>
      </c>
      <c r="B342" s="2">
        <v>82</v>
      </c>
    </row>
    <row r="343" spans="1:2" x14ac:dyDescent="0.35">
      <c r="A343" s="1">
        <v>45261</v>
      </c>
      <c r="B343" s="2">
        <v>90</v>
      </c>
    </row>
    <row r="344" spans="1:2" x14ac:dyDescent="0.35">
      <c r="A344" s="1">
        <v>45262</v>
      </c>
      <c r="B344" s="2">
        <v>45</v>
      </c>
    </row>
    <row r="345" spans="1:2" x14ac:dyDescent="0.35">
      <c r="A345" s="1">
        <v>45263</v>
      </c>
      <c r="B345" s="2">
        <v>34</v>
      </c>
    </row>
    <row r="346" spans="1:2" x14ac:dyDescent="0.35">
      <c r="A346" s="1">
        <v>45264</v>
      </c>
      <c r="B346" s="2">
        <v>57</v>
      </c>
    </row>
    <row r="347" spans="1:2" x14ac:dyDescent="0.35">
      <c r="A347" s="1">
        <v>45265</v>
      </c>
      <c r="B347" s="2">
        <v>82</v>
      </c>
    </row>
    <row r="348" spans="1:2" x14ac:dyDescent="0.35">
      <c r="A348" s="1">
        <v>45266</v>
      </c>
      <c r="B348" s="2">
        <v>80</v>
      </c>
    </row>
    <row r="349" spans="1:2" x14ac:dyDescent="0.35">
      <c r="A349" s="1">
        <v>45267</v>
      </c>
      <c r="B349" s="2">
        <v>88</v>
      </c>
    </row>
    <row r="350" spans="1:2" x14ac:dyDescent="0.35">
      <c r="A350" s="1">
        <v>45268</v>
      </c>
      <c r="B350" s="2">
        <v>69</v>
      </c>
    </row>
    <row r="351" spans="1:2" x14ac:dyDescent="0.35">
      <c r="A351" s="1">
        <v>45269</v>
      </c>
      <c r="B351" s="2">
        <v>42</v>
      </c>
    </row>
    <row r="352" spans="1:2" x14ac:dyDescent="0.35">
      <c r="A352" s="1">
        <v>45270</v>
      </c>
      <c r="B352" s="2">
        <v>70</v>
      </c>
    </row>
    <row r="353" spans="1:2" x14ac:dyDescent="0.35">
      <c r="A353" s="1">
        <v>45271</v>
      </c>
      <c r="B353" s="2">
        <v>61</v>
      </c>
    </row>
    <row r="354" spans="1:2" x14ac:dyDescent="0.35">
      <c r="A354" s="1">
        <v>45272</v>
      </c>
      <c r="B354" s="2">
        <v>107</v>
      </c>
    </row>
    <row r="355" spans="1:2" x14ac:dyDescent="0.35">
      <c r="A355" s="1">
        <v>45273</v>
      </c>
      <c r="B355" s="2">
        <v>144</v>
      </c>
    </row>
    <row r="356" spans="1:2" x14ac:dyDescent="0.35">
      <c r="A356" s="1">
        <v>45274</v>
      </c>
      <c r="B356" s="2">
        <v>87</v>
      </c>
    </row>
    <row r="357" spans="1:2" x14ac:dyDescent="0.35">
      <c r="A357" s="1">
        <v>45275</v>
      </c>
      <c r="B357" s="2">
        <v>108</v>
      </c>
    </row>
    <row r="358" spans="1:2" x14ac:dyDescent="0.35">
      <c r="A358" s="1">
        <v>45276</v>
      </c>
      <c r="B358" s="2">
        <v>51</v>
      </c>
    </row>
    <row r="359" spans="1:2" x14ac:dyDescent="0.35">
      <c r="A359" s="1">
        <v>45277</v>
      </c>
      <c r="B359" s="2">
        <v>37</v>
      </c>
    </row>
    <row r="360" spans="1:2" x14ac:dyDescent="0.35">
      <c r="A360" s="1">
        <v>45278</v>
      </c>
      <c r="B360" s="2">
        <v>70</v>
      </c>
    </row>
    <row r="361" spans="1:2" x14ac:dyDescent="0.35">
      <c r="A361" s="1">
        <v>45279</v>
      </c>
      <c r="B361" s="2">
        <v>65</v>
      </c>
    </row>
    <row r="362" spans="1:2" x14ac:dyDescent="0.35">
      <c r="A362" s="1">
        <v>45280</v>
      </c>
      <c r="B362" s="2">
        <v>85</v>
      </c>
    </row>
    <row r="363" spans="1:2" x14ac:dyDescent="0.35">
      <c r="A363" s="1">
        <v>45281</v>
      </c>
      <c r="B363" s="2">
        <v>69</v>
      </c>
    </row>
    <row r="364" spans="1:2" x14ac:dyDescent="0.35">
      <c r="A364" s="1">
        <v>45282</v>
      </c>
      <c r="B364" s="2">
        <v>66</v>
      </c>
    </row>
    <row r="365" spans="1:2" x14ac:dyDescent="0.35">
      <c r="A365" s="1">
        <v>45283</v>
      </c>
      <c r="B365" s="2">
        <v>41</v>
      </c>
    </row>
    <row r="366" spans="1:2" x14ac:dyDescent="0.35">
      <c r="A366" s="1">
        <v>45284</v>
      </c>
      <c r="B366" s="2">
        <v>40</v>
      </c>
    </row>
    <row r="367" spans="1:2" x14ac:dyDescent="0.35">
      <c r="A367" s="1">
        <v>45285</v>
      </c>
      <c r="B367" s="2">
        <v>40</v>
      </c>
    </row>
    <row r="368" spans="1:2" x14ac:dyDescent="0.35">
      <c r="A368" s="1">
        <v>45286</v>
      </c>
      <c r="B368" s="2">
        <v>45</v>
      </c>
    </row>
    <row r="369" spans="1:2" x14ac:dyDescent="0.35">
      <c r="A369" s="1">
        <v>45287</v>
      </c>
      <c r="B369" s="2">
        <v>77</v>
      </c>
    </row>
    <row r="370" spans="1:2" x14ac:dyDescent="0.35">
      <c r="A370" s="1">
        <v>45288</v>
      </c>
      <c r="B370" s="2">
        <v>57</v>
      </c>
    </row>
    <row r="371" spans="1:2" x14ac:dyDescent="0.35">
      <c r="A371" s="1">
        <v>45289</v>
      </c>
      <c r="B371" s="2">
        <v>70</v>
      </c>
    </row>
    <row r="372" spans="1:2" x14ac:dyDescent="0.35">
      <c r="A372" s="1">
        <v>45290</v>
      </c>
      <c r="B372" s="2">
        <v>42</v>
      </c>
    </row>
    <row r="373" spans="1:2" ht="15" thickBot="1" x14ac:dyDescent="0.4">
      <c r="A373" s="3">
        <v>45291</v>
      </c>
      <c r="B373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85DA-101A-4FD0-ABD9-BA4DE552FB63}">
  <dimension ref="A1:E458"/>
  <sheetViews>
    <sheetView zoomScale="70" workbookViewId="0">
      <selection activeCell="G3" sqref="G3"/>
    </sheetView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0</v>
      </c>
      <c r="B1" t="s">
        <v>1</v>
      </c>
      <c r="C1" t="s">
        <v>15</v>
      </c>
      <c r="D1" t="s">
        <v>16</v>
      </c>
      <c r="E1" t="s">
        <v>17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62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01E7-9612-48ED-ACB6-37C1F839261D}">
  <dimension ref="B1:H14"/>
  <sheetViews>
    <sheetView tabSelected="1" workbookViewId="0">
      <selection activeCell="C9" sqref="C9"/>
    </sheetView>
  </sheetViews>
  <sheetFormatPr defaultRowHeight="14.5" x14ac:dyDescent="0.35"/>
  <cols>
    <col min="2" max="2" width="16.6328125" customWidth="1"/>
    <col min="3" max="3" width="12.08984375" customWidth="1"/>
    <col min="5" max="5" width="10.6328125" customWidth="1"/>
    <col min="8" max="8" width="12.81640625" customWidth="1"/>
  </cols>
  <sheetData>
    <row r="1" spans="2:8" ht="15" thickBot="1" x14ac:dyDescent="0.4"/>
    <row r="2" spans="2:8" x14ac:dyDescent="0.35">
      <c r="B2" s="62" t="s">
        <v>2</v>
      </c>
      <c r="C2" s="63"/>
      <c r="E2" s="28" t="s">
        <v>3</v>
      </c>
      <c r="F2" s="29" t="s">
        <v>4</v>
      </c>
      <c r="G2" s="29" t="s">
        <v>5</v>
      </c>
      <c r="H2" s="30" t="s">
        <v>6</v>
      </c>
    </row>
    <row r="3" spans="2:8" x14ac:dyDescent="0.35">
      <c r="B3" s="9" t="s">
        <v>4</v>
      </c>
      <c r="C3" s="33">
        <v>100000</v>
      </c>
      <c r="E3" s="31" t="s">
        <v>7</v>
      </c>
      <c r="F3" s="26">
        <v>100000</v>
      </c>
      <c r="G3" s="27">
        <v>0.1</v>
      </c>
      <c r="H3" s="32">
        <v>1.4999999999999999E-2</v>
      </c>
    </row>
    <row r="4" spans="2:8" x14ac:dyDescent="0.35">
      <c r="B4" s="9" t="s">
        <v>5</v>
      </c>
      <c r="C4" s="34">
        <v>0.12295418126546183</v>
      </c>
      <c r="E4" s="31" t="s">
        <v>8</v>
      </c>
      <c r="F4" s="26">
        <v>80000</v>
      </c>
      <c r="G4" s="27">
        <v>0.15</v>
      </c>
      <c r="H4" s="32">
        <v>1.2E-2</v>
      </c>
    </row>
    <row r="5" spans="2:8" ht="15" thickBot="1" x14ac:dyDescent="0.4">
      <c r="B5" s="11" t="s">
        <v>6</v>
      </c>
      <c r="C5" s="35">
        <v>6.5493586951151372E-2</v>
      </c>
      <c r="E5" s="36" t="s">
        <v>9</v>
      </c>
      <c r="F5" s="37">
        <v>120000</v>
      </c>
      <c r="G5" s="38">
        <v>0.05</v>
      </c>
      <c r="H5" s="39">
        <v>8.0000000000000002E-3</v>
      </c>
    </row>
    <row r="6" spans="2:8" ht="29.5" thickBot="1" x14ac:dyDescent="0.4">
      <c r="E6" s="40" t="s">
        <v>10</v>
      </c>
      <c r="F6" s="41" t="e">
        <v>#N/A</v>
      </c>
      <c r="G6" s="42">
        <v>0.25</v>
      </c>
      <c r="H6" s="43">
        <v>0.04</v>
      </c>
    </row>
    <row r="7" spans="2:8" x14ac:dyDescent="0.35">
      <c r="B7" s="62" t="s">
        <v>11</v>
      </c>
      <c r="C7" s="63"/>
    </row>
    <row r="8" spans="2:8" x14ac:dyDescent="0.35">
      <c r="B8" s="13" t="s">
        <v>12</v>
      </c>
      <c r="C8" s="14" t="s">
        <v>13</v>
      </c>
    </row>
    <row r="9" spans="2:8" x14ac:dyDescent="0.35">
      <c r="B9" s="12">
        <v>0</v>
      </c>
      <c r="C9" s="10">
        <f>($C$3*(1+$C$5)^$B9)*(1+$C$4)</f>
        <v>112295.41812654618</v>
      </c>
    </row>
    <row r="10" spans="2:8" x14ac:dyDescent="0.35">
      <c r="B10" s="12">
        <v>1</v>
      </c>
      <c r="C10" s="10">
        <f>($C$3*(1+$C$5)^$B10)*(1+$C$4)</f>
        <v>119650.04785783301</v>
      </c>
    </row>
    <row r="11" spans="2:8" x14ac:dyDescent="0.35">
      <c r="B11" s="12">
        <v>2</v>
      </c>
      <c r="C11" s="10">
        <f t="shared" ref="C11:C13" si="0">($C$3*(1+$C$5)^$B11)*(1+$C$4)</f>
        <v>127486.35867091942</v>
      </c>
    </row>
    <row r="12" spans="2:8" x14ac:dyDescent="0.35">
      <c r="B12" s="12">
        <v>3</v>
      </c>
      <c r="C12" s="10">
        <f t="shared" si="0"/>
        <v>135835.89758761897</v>
      </c>
    </row>
    <row r="13" spans="2:8" ht="15" thickBot="1" x14ac:dyDescent="0.4">
      <c r="B13" s="25">
        <v>4</v>
      </c>
      <c r="C13" s="10">
        <f t="shared" si="0"/>
        <v>144732.27775736136</v>
      </c>
    </row>
    <row r="14" spans="2:8" ht="15.5" thickTop="1" thickBot="1" x14ac:dyDescent="0.4">
      <c r="B14" s="24" t="s">
        <v>14</v>
      </c>
      <c r="C14" s="10">
        <f>SUM(C9:C13)</f>
        <v>640000.00000027893</v>
      </c>
    </row>
  </sheetData>
  <scenarios current="2" show="2" sqref="C9:C14">
    <scenario name="Job 1" locked="1" count="6" user="Fadi Joma" comment="Created by Fadi Joma on 29/07/2026_x000a_Modified by Fadi Joma on 29/07/2026">
      <inputCells r="B3" val="Base Salary"/>
      <inputCells r="C3" val="100000" numFmtId="165"/>
      <inputCells r="B4" val="Bonus"/>
      <inputCells r="C4" val="0.1" numFmtId="9"/>
      <inputCells r="B5" val="Annual Raise"/>
      <inputCells r="C5" val="0.015" numFmtId="166"/>
    </scenario>
    <scenario name="Job 2" locked="1" count="3" user="Fadi Joma" comment="Created by Fadi Joma on 29/07/2026">
      <inputCells r="C3" val="80000" numFmtId="165"/>
      <inputCells r="C4" val="0.15" numFmtId="9"/>
      <inputCells r="C5" val="0.012" numFmtId="166"/>
    </scenario>
    <scenario name="Job 3" locked="1" count="3" user="Fadi Joma" comment="Created by Fadi Joma on 29/07/2026_x000a_Modified by Fadi Joma on 29/07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5A06-CC56-45FE-9F30-1E167DEB7608}">
  <sheetPr>
    <outlinePr summaryBelow="0"/>
  </sheetPr>
  <dimension ref="B1:G21"/>
  <sheetViews>
    <sheetView showGridLines="0" workbookViewId="0">
      <selection activeCell="G18" sqref="G18"/>
    </sheetView>
  </sheetViews>
  <sheetFormatPr defaultRowHeight="14.5" outlineLevelRow="1" outlineLevelCol="1" x14ac:dyDescent="0.35"/>
  <cols>
    <col min="3" max="3" width="10.08984375" bestFit="1" customWidth="1"/>
    <col min="4" max="7" width="12.1796875" customWidth="1" outlineLevel="1"/>
  </cols>
  <sheetData>
    <row r="1" spans="2:7" ht="15" thickBot="1" x14ac:dyDescent="0.4"/>
    <row r="2" spans="2:7" ht="16" x14ac:dyDescent="0.4">
      <c r="B2" s="19" t="s">
        <v>23</v>
      </c>
      <c r="C2" s="19"/>
      <c r="D2" s="22"/>
      <c r="E2" s="22"/>
      <c r="F2" s="22"/>
      <c r="G2" s="22"/>
    </row>
    <row r="3" spans="2:7" ht="16" collapsed="1" x14ac:dyDescent="0.4">
      <c r="B3" s="18"/>
      <c r="C3" s="18"/>
      <c r="D3" s="23" t="s">
        <v>25</v>
      </c>
      <c r="E3" s="23" t="s">
        <v>7</v>
      </c>
      <c r="F3" s="23" t="s">
        <v>8</v>
      </c>
      <c r="G3" s="23" t="s">
        <v>9</v>
      </c>
    </row>
    <row r="4" spans="2:7" ht="63" hidden="1" outlineLevel="1" x14ac:dyDescent="0.35">
      <c r="B4" s="49"/>
      <c r="C4" s="49"/>
      <c r="E4" s="53" t="s">
        <v>21</v>
      </c>
      <c r="F4" s="53" t="s">
        <v>22</v>
      </c>
      <c r="G4" s="53" t="s">
        <v>21</v>
      </c>
    </row>
    <row r="5" spans="2:7" x14ac:dyDescent="0.35">
      <c r="B5" s="20" t="s">
        <v>24</v>
      </c>
      <c r="C5" s="20"/>
      <c r="D5" s="48"/>
      <c r="E5" s="48"/>
      <c r="F5" s="48"/>
      <c r="G5" s="48"/>
    </row>
    <row r="6" spans="2:7" outlineLevel="1" x14ac:dyDescent="0.35">
      <c r="B6" s="49"/>
      <c r="C6" s="49"/>
      <c r="E6" s="54"/>
    </row>
    <row r="7" spans="2:7" outlineLevel="1" x14ac:dyDescent="0.35">
      <c r="B7" s="49"/>
      <c r="C7" s="49" t="s">
        <v>31</v>
      </c>
      <c r="D7" s="44">
        <v>120000</v>
      </c>
      <c r="E7" s="50">
        <v>100000</v>
      </c>
      <c r="F7" s="50">
        <v>80000</v>
      </c>
      <c r="G7" s="50">
        <v>120000</v>
      </c>
    </row>
    <row r="8" spans="2:7" outlineLevel="1" x14ac:dyDescent="0.35">
      <c r="B8" s="49"/>
      <c r="C8" s="49"/>
      <c r="E8" s="54"/>
    </row>
    <row r="9" spans="2:7" outlineLevel="1" x14ac:dyDescent="0.35">
      <c r="B9" s="49"/>
      <c r="C9" s="49" t="s">
        <v>5</v>
      </c>
      <c r="D9" s="45">
        <v>0.05</v>
      </c>
      <c r="E9" s="51">
        <v>0.1</v>
      </c>
      <c r="F9" s="51">
        <v>0.15</v>
      </c>
      <c r="G9" s="51">
        <v>0.05</v>
      </c>
    </row>
    <row r="10" spans="2:7" outlineLevel="1" x14ac:dyDescent="0.35">
      <c r="B10" s="49"/>
      <c r="C10" s="49"/>
      <c r="E10" s="54"/>
    </row>
    <row r="11" spans="2:7" outlineLevel="1" x14ac:dyDescent="0.35">
      <c r="B11" s="49"/>
      <c r="C11" s="49" t="s">
        <v>30</v>
      </c>
      <c r="D11" s="46">
        <v>8.0000000000000002E-3</v>
      </c>
      <c r="E11" s="52">
        <v>1.4999999999999999E-2</v>
      </c>
      <c r="F11" s="52">
        <v>1.2E-2</v>
      </c>
      <c r="G11" s="52">
        <v>8.0000000000000002E-3</v>
      </c>
    </row>
    <row r="12" spans="2:7" x14ac:dyDescent="0.35">
      <c r="B12" s="20" t="s">
        <v>26</v>
      </c>
      <c r="C12" s="20"/>
      <c r="D12" s="48"/>
      <c r="E12" s="48"/>
      <c r="F12" s="48"/>
      <c r="G12" s="48"/>
    </row>
    <row r="13" spans="2:7" outlineLevel="1" x14ac:dyDescent="0.35">
      <c r="B13" s="49"/>
      <c r="C13" s="49" t="s">
        <v>32</v>
      </c>
      <c r="D13" s="44">
        <v>126000</v>
      </c>
      <c r="E13" s="44">
        <v>110000</v>
      </c>
      <c r="F13" s="44">
        <v>92000</v>
      </c>
      <c r="G13" s="44">
        <v>126000</v>
      </c>
    </row>
    <row r="14" spans="2:7" outlineLevel="1" x14ac:dyDescent="0.35">
      <c r="B14" s="49"/>
      <c r="C14" s="49" t="s">
        <v>33</v>
      </c>
      <c r="D14" s="44">
        <v>127008</v>
      </c>
      <c r="E14" s="44">
        <v>111650</v>
      </c>
      <c r="F14" s="44">
        <v>93104</v>
      </c>
      <c r="G14" s="44">
        <v>127008</v>
      </c>
    </row>
    <row r="15" spans="2:7" outlineLevel="1" x14ac:dyDescent="0.35">
      <c r="B15" s="49"/>
      <c r="C15" s="49" t="s">
        <v>34</v>
      </c>
      <c r="D15" s="44">
        <v>128024.064</v>
      </c>
      <c r="E15" s="44">
        <v>113324.75</v>
      </c>
      <c r="F15" s="44">
        <v>94221.248000000007</v>
      </c>
      <c r="G15" s="44">
        <v>128024.064</v>
      </c>
    </row>
    <row r="16" spans="2:7" outlineLevel="1" x14ac:dyDescent="0.35">
      <c r="B16" s="49"/>
      <c r="C16" s="49" t="s">
        <v>35</v>
      </c>
      <c r="D16" s="44">
        <v>129048.25651200001</v>
      </c>
      <c r="E16" s="44">
        <v>115024.62125</v>
      </c>
      <c r="F16" s="44">
        <v>95351.902975999998</v>
      </c>
      <c r="G16" s="44">
        <v>129048.25651200001</v>
      </c>
    </row>
    <row r="17" spans="2:7" outlineLevel="1" x14ac:dyDescent="0.35">
      <c r="B17" s="49"/>
      <c r="C17" s="49" t="s">
        <v>36</v>
      </c>
      <c r="D17" s="44">
        <v>130080.64256409599</v>
      </c>
      <c r="E17" s="44">
        <v>116749.99056875</v>
      </c>
      <c r="F17" s="44">
        <v>96496.125811712001</v>
      </c>
      <c r="G17" s="44">
        <v>130080.64256409599</v>
      </c>
    </row>
    <row r="18" spans="2:7" ht="15" outlineLevel="1" thickBot="1" x14ac:dyDescent="0.4">
      <c r="B18" s="21"/>
      <c r="C18" s="21" t="s">
        <v>37</v>
      </c>
      <c r="D18" s="47">
        <v>640160.96307609603</v>
      </c>
      <c r="E18" s="47">
        <v>566749.36181875004</v>
      </c>
      <c r="F18" s="47">
        <v>471173.27678771201</v>
      </c>
      <c r="G18" s="47">
        <v>640160.96307609603</v>
      </c>
    </row>
    <row r="19" spans="2:7" x14ac:dyDescent="0.35">
      <c r="B19" t="s">
        <v>27</v>
      </c>
    </row>
    <row r="20" spans="2:7" x14ac:dyDescent="0.35">
      <c r="B20" t="s">
        <v>28</v>
      </c>
    </row>
    <row r="21" spans="2:7" x14ac:dyDescent="0.35">
      <c r="B2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1A9F-4578-49AA-B4DB-96DC5312591A}">
  <dimension ref="A1:G29"/>
  <sheetViews>
    <sheetView showGridLines="0" zoomScaleNormal="100" workbookViewId="0"/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10" bestFit="1" customWidth="1"/>
    <col min="7" max="7" width="11.81640625" bestFit="1" customWidth="1"/>
  </cols>
  <sheetData>
    <row r="1" spans="1:5" x14ac:dyDescent="0.35">
      <c r="A1" s="15" t="s">
        <v>38</v>
      </c>
    </row>
    <row r="2" spans="1:5" x14ac:dyDescent="0.35">
      <c r="A2" s="15" t="s">
        <v>39</v>
      </c>
    </row>
    <row r="3" spans="1:5" x14ac:dyDescent="0.35">
      <c r="A3" s="15" t="s">
        <v>62</v>
      </c>
    </row>
    <row r="4" spans="1:5" x14ac:dyDescent="0.35">
      <c r="A4" s="15" t="s">
        <v>40</v>
      </c>
    </row>
    <row r="5" spans="1:5" x14ac:dyDescent="0.35">
      <c r="A5" s="15" t="s">
        <v>41</v>
      </c>
    </row>
    <row r="6" spans="1:5" x14ac:dyDescent="0.35">
      <c r="A6" s="15"/>
      <c r="B6" t="s">
        <v>42</v>
      </c>
    </row>
    <row r="7" spans="1:5" x14ac:dyDescent="0.35">
      <c r="A7" s="15"/>
      <c r="B7" t="s">
        <v>63</v>
      </c>
    </row>
    <row r="8" spans="1:5" x14ac:dyDescent="0.35">
      <c r="A8" s="15"/>
      <c r="B8" t="s">
        <v>64</v>
      </c>
    </row>
    <row r="9" spans="1:5" x14ac:dyDescent="0.35">
      <c r="A9" s="15" t="s">
        <v>43</v>
      </c>
    </row>
    <row r="10" spans="1:5" x14ac:dyDescent="0.35">
      <c r="B10" t="s">
        <v>44</v>
      </c>
    </row>
    <row r="11" spans="1:5" x14ac:dyDescent="0.35">
      <c r="B11" t="s">
        <v>45</v>
      </c>
    </row>
    <row r="12" spans="1:5" x14ac:dyDescent="0.35">
      <c r="B12" t="s">
        <v>46</v>
      </c>
    </row>
    <row r="14" spans="1:5" ht="15" thickBot="1" x14ac:dyDescent="0.4">
      <c r="A14" t="s">
        <v>47</v>
      </c>
    </row>
    <row r="15" spans="1:5" ht="15" thickBot="1" x14ac:dyDescent="0.4">
      <c r="B15" s="56" t="s">
        <v>48</v>
      </c>
      <c r="C15" s="56" t="s">
        <v>49</v>
      </c>
      <c r="D15" s="56" t="s">
        <v>50</v>
      </c>
      <c r="E15" s="56" t="s">
        <v>51</v>
      </c>
    </row>
    <row r="16" spans="1:5" ht="15" thickBot="1" x14ac:dyDescent="0.4">
      <c r="B16" s="55" t="s">
        <v>20</v>
      </c>
      <c r="C16" s="55" t="s">
        <v>37</v>
      </c>
      <c r="D16" s="58">
        <v>640000.00000027893</v>
      </c>
      <c r="E16" s="58">
        <v>640000.00000027893</v>
      </c>
    </row>
    <row r="19" spans="1:7" ht="15" thickBot="1" x14ac:dyDescent="0.4">
      <c r="A19" t="s">
        <v>52</v>
      </c>
    </row>
    <row r="20" spans="1:7" ht="15" thickBot="1" x14ac:dyDescent="0.4">
      <c r="B20" s="56" t="s">
        <v>48</v>
      </c>
      <c r="C20" s="56" t="s">
        <v>49</v>
      </c>
      <c r="D20" s="56" t="s">
        <v>50</v>
      </c>
      <c r="E20" s="56" t="s">
        <v>51</v>
      </c>
      <c r="F20" s="56" t="s">
        <v>53</v>
      </c>
    </row>
    <row r="21" spans="1:7" x14ac:dyDescent="0.35">
      <c r="B21" s="57" t="s">
        <v>18</v>
      </c>
      <c r="C21" s="57" t="s">
        <v>5</v>
      </c>
      <c r="D21" s="59">
        <v>0.12295418126546183</v>
      </c>
      <c r="E21" s="59">
        <v>0.12295418126546183</v>
      </c>
      <c r="F21" s="57" t="s">
        <v>59</v>
      </c>
    </row>
    <row r="22" spans="1:7" ht="15" thickBot="1" x14ac:dyDescent="0.4">
      <c r="B22" s="55" t="s">
        <v>19</v>
      </c>
      <c r="C22" s="55" t="s">
        <v>30</v>
      </c>
      <c r="D22" s="60">
        <v>6.5493586951151372E-2</v>
      </c>
      <c r="E22" s="60">
        <v>6.5493586951151372E-2</v>
      </c>
      <c r="F22" s="55" t="s">
        <v>59</v>
      </c>
    </row>
    <row r="25" spans="1:7" ht="15" thickBot="1" x14ac:dyDescent="0.4">
      <c r="A25" t="s">
        <v>54</v>
      </c>
    </row>
    <row r="26" spans="1:7" ht="15" thickBot="1" x14ac:dyDescent="0.4">
      <c r="B26" s="56" t="s">
        <v>48</v>
      </c>
      <c r="C26" s="56" t="s">
        <v>49</v>
      </c>
      <c r="D26" s="56" t="s">
        <v>55</v>
      </c>
      <c r="E26" s="56" t="s">
        <v>56</v>
      </c>
      <c r="F26" s="56" t="s">
        <v>57</v>
      </c>
      <c r="G26" s="56" t="s">
        <v>58</v>
      </c>
    </row>
    <row r="27" spans="1:7" x14ac:dyDescent="0.35">
      <c r="B27" s="57" t="s">
        <v>20</v>
      </c>
      <c r="C27" s="57" t="s">
        <v>37</v>
      </c>
      <c r="D27" s="61">
        <v>640000.00000027893</v>
      </c>
      <c r="E27" s="57" t="s">
        <v>60</v>
      </c>
      <c r="F27" s="57" t="s">
        <v>61</v>
      </c>
      <c r="G27" s="57">
        <v>0</v>
      </c>
    </row>
    <row r="28" spans="1:7" x14ac:dyDescent="0.35">
      <c r="B28" s="57" t="s">
        <v>18</v>
      </c>
      <c r="C28" s="57" t="s">
        <v>5</v>
      </c>
      <c r="D28" s="59">
        <v>0.12295418126546183</v>
      </c>
      <c r="E28" s="57" t="s">
        <v>65</v>
      </c>
      <c r="F28" s="57" t="s">
        <v>66</v>
      </c>
      <c r="G28" s="57">
        <v>2.7045818734538166E-2</v>
      </c>
    </row>
    <row r="29" spans="1:7" ht="15" thickBot="1" x14ac:dyDescent="0.4">
      <c r="B29" s="55" t="s">
        <v>19</v>
      </c>
      <c r="C29" s="55" t="s">
        <v>30</v>
      </c>
      <c r="D29" s="60">
        <v>6.5493586951151372E-2</v>
      </c>
      <c r="E29" s="55" t="s">
        <v>67</v>
      </c>
      <c r="F29" s="55" t="s">
        <v>66</v>
      </c>
      <c r="G29" s="55">
        <v>1.4506413048848629E-2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Forecast_original</vt:lpstr>
      <vt:lpstr>Forecast_original_final</vt:lpstr>
      <vt:lpstr>What_If_Analysis</vt:lpstr>
      <vt:lpstr>Scenario Summary</vt:lpstr>
      <vt:lpstr>Answer Report 1</vt:lpstr>
      <vt:lpstr>Base</vt:lpstr>
      <vt:lpstr>Bonus</vt:lpstr>
      <vt:lpstr>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Joma</dc:creator>
  <cp:lastModifiedBy>Fadi Joma</cp:lastModifiedBy>
  <dcterms:created xsi:type="dcterms:W3CDTF">2026-07-27T14:29:12Z</dcterms:created>
  <dcterms:modified xsi:type="dcterms:W3CDTF">2026-07-29T12:17:20Z</dcterms:modified>
</cp:coreProperties>
</file>