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e6ea757386bcb/Excel course/"/>
    </mc:Choice>
  </mc:AlternateContent>
  <xr:revisionPtr revIDLastSave="118" documentId="8_{A82DE076-B0E1-4166-9080-52FA6B06F1BF}" xr6:coauthVersionLast="47" xr6:coauthVersionMax="47" xr10:uidLastSave="{0790BD56-C247-4122-A6DD-BD1CB777D9D1}"/>
  <bookViews>
    <workbookView xWindow="-110" yWindow="-110" windowWidth="19420" windowHeight="10300" activeTab="1" xr2:uid="{ADFA4824-4C49-45A5-8B3E-B062BC3560EF}"/>
  </bookViews>
  <sheets>
    <sheet name="Data_table_one_in_put" sheetId="1" r:id="rId1"/>
    <sheet name="Data_table_two_in_put" sheetId="2" r:id="rId2"/>
  </sheets>
  <definedNames>
    <definedName name="Base">Data_table_one_in_put!$C$3</definedName>
    <definedName name="Bonus">Data_table_one_in_put!$C$4</definedName>
    <definedName name="Raise">Data_table_one_in_put!$C$5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2" l="1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2" l="1"/>
  <c r="E3" i="2" s="1"/>
  <c r="C14" i="1"/>
  <c r="K3" i="1" s="1"/>
</calcChain>
</file>

<file path=xl/sharedStrings.xml><?xml version="1.0" encoding="utf-8"?>
<sst xmlns="http://schemas.openxmlformats.org/spreadsheetml/2006/main" count="25" uniqueCount="14">
  <si>
    <t>Input Cells</t>
  </si>
  <si>
    <t>Base Salary</t>
  </si>
  <si>
    <t>Bonus</t>
  </si>
  <si>
    <t>Annual Raise</t>
  </si>
  <si>
    <t>Result Cells</t>
  </si>
  <si>
    <t>Year</t>
  </si>
  <si>
    <t>Amount</t>
  </si>
  <si>
    <t>Total</t>
  </si>
  <si>
    <t>Raise</t>
  </si>
  <si>
    <t>Year  0</t>
  </si>
  <si>
    <t>Year  1</t>
  </si>
  <si>
    <t>Year  2</t>
  </si>
  <si>
    <t>Year  3</t>
  </si>
  <si>
    <t>Year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</si>
</sst>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_(&quot;$&quot;* #,##0.00_);_(&quot;$&quot;* \(#,##0.00\);_(&quot;$&quot;* &quot;-&quot;??_);_(@_)"/>
    <numFmt numFmtId="168" formatCode="_(&quot;$&quot;* #,##0_);_(&quot;$&quot;* \(#,##0\);_(&quot;$&quot;* &quot;-&quot;??_);_(@_)"/>
    <numFmt numFmtId="169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167" fontId="1" fillId="0" borderId="0" applyFont="0" applyFill="0" applyBorder="0" applyAlignment="0" applyProtection="0"/>
  </cellStyleXfs>
  <cellXfs count="28">
    <xf numFmtId="0" fontId="0" fillId="0" borderId="0" xfId="0"/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/>
    <xf numFmtId="168" fontId="0" fillId="0" borderId="0" xfId="3" applyNumberFormat="1" applyFont="1" applyBorder="1"/>
    <xf numFmtId="168" fontId="0" fillId="0" borderId="2" xfId="3" applyNumberFormat="1" applyFont="1" applyBorder="1"/>
    <xf numFmtId="168" fontId="0" fillId="0" borderId="3" xfId="3" applyNumberFormat="1" applyFont="1" applyBorder="1"/>
    <xf numFmtId="168" fontId="0" fillId="0" borderId="4" xfId="3" applyNumberFormat="1" applyFont="1" applyBorder="1"/>
    <xf numFmtId="0" fontId="3" fillId="0" borderId="0" xfId="0" applyFont="1" applyAlignment="1">
      <alignment horizontal="center"/>
    </xf>
    <xf numFmtId="0" fontId="3" fillId="0" borderId="7" xfId="0" applyFont="1" applyBorder="1"/>
    <xf numFmtId="168" fontId="0" fillId="0" borderId="8" xfId="3" applyNumberFormat="1" applyFont="1" applyBorder="1"/>
    <xf numFmtId="0" fontId="3" fillId="0" borderId="9" xfId="0" applyFont="1" applyBorder="1"/>
    <xf numFmtId="0" fontId="3" fillId="0" borderId="7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8" fontId="2" fillId="2" borderId="10" xfId="2" applyNumberFormat="1" applyBorder="1"/>
    <xf numFmtId="9" fontId="2" fillId="2" borderId="10" xfId="2" applyNumberFormat="1" applyBorder="1"/>
    <xf numFmtId="169" fontId="2" fillId="2" borderId="11" xfId="2" applyNumberFormat="1" applyBorder="1"/>
    <xf numFmtId="169" fontId="3" fillId="0" borderId="12" xfId="0" applyNumberFormat="1" applyFont="1" applyBorder="1"/>
    <xf numFmtId="169" fontId="3" fillId="0" borderId="13" xfId="0" applyNumberFormat="1" applyFont="1" applyBorder="1"/>
    <xf numFmtId="0" fontId="3" fillId="0" borderId="0" xfId="0" applyFont="1"/>
    <xf numFmtId="168" fontId="6" fillId="0" borderId="14" xfId="0" applyNumberFormat="1" applyFont="1" applyBorder="1"/>
    <xf numFmtId="168" fontId="6" fillId="0" borderId="15" xfId="1" applyNumberFormat="1" applyFont="1" applyBorder="1"/>
    <xf numFmtId="168" fontId="6" fillId="0" borderId="16" xfId="1" applyNumberFormat="1" applyFont="1" applyBorder="1"/>
    <xf numFmtId="0" fontId="3" fillId="0" borderId="17" xfId="0" applyFont="1" applyBorder="1" applyAlignment="1">
      <alignment horizontal="center"/>
    </xf>
    <xf numFmtId="0" fontId="3" fillId="0" borderId="17" xfId="0" applyFont="1" applyBorder="1" applyAlignment="1"/>
    <xf numFmtId="9" fontId="6" fillId="0" borderId="16" xfId="1" applyFont="1" applyBorder="1"/>
  </cellXfs>
  <cellStyles count="4">
    <cellStyle name="Currency 2" xfId="3" xr:uid="{7E2F1FD0-8D92-41D4-931C-4D9BB1CD00B2}"/>
    <cellStyle name="Input" xfId="2" builtinId="20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AD05-B33D-4D20-94BA-F47E1580053B}">
  <sheetPr codeName="Sheet1"/>
  <dimension ref="B1:K14"/>
  <sheetViews>
    <sheetView zoomScale="109" workbookViewId="0">
      <selection sqref="A1:L16"/>
    </sheetView>
  </sheetViews>
  <sheetFormatPr defaultRowHeight="14.5" x14ac:dyDescent="0.35"/>
  <cols>
    <col min="2" max="2" width="11.7265625" bestFit="1" customWidth="1"/>
    <col min="3" max="3" width="9.6328125" bestFit="1" customWidth="1"/>
    <col min="6" max="11" width="9.6328125" bestFit="1" customWidth="1"/>
  </cols>
  <sheetData>
    <row r="1" spans="2:11" ht="15" thickBot="1" x14ac:dyDescent="0.4">
      <c r="B1" s="3"/>
      <c r="C1" s="3"/>
      <c r="D1" s="3"/>
      <c r="E1" s="3"/>
      <c r="F1" s="3"/>
      <c r="G1" s="3"/>
      <c r="H1" s="3"/>
      <c r="I1" s="3"/>
      <c r="J1" s="3"/>
      <c r="K1" s="3"/>
    </row>
    <row r="2" spans="2:11" x14ac:dyDescent="0.35">
      <c r="B2" s="2" t="s">
        <v>0</v>
      </c>
      <c r="C2" s="1"/>
      <c r="D2" s="3"/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21" t="s">
        <v>7</v>
      </c>
    </row>
    <row r="3" spans="2:11" x14ac:dyDescent="0.35">
      <c r="B3" s="9" t="s">
        <v>1</v>
      </c>
      <c r="C3" s="16">
        <v>100000</v>
      </c>
      <c r="D3" s="3"/>
      <c r="E3" s="22"/>
      <c r="F3" s="24">
        <f>C9</f>
        <v>110000.00000000001</v>
      </c>
      <c r="G3" s="24">
        <f>C10</f>
        <v>111650</v>
      </c>
      <c r="H3" s="24">
        <f>C11</f>
        <v>113324.74999999997</v>
      </c>
      <c r="I3" s="24">
        <f>C12</f>
        <v>115024.62124999997</v>
      </c>
      <c r="J3" s="24">
        <f>C13</f>
        <v>116749.99056874996</v>
      </c>
      <c r="K3" s="23">
        <f>C14</f>
        <v>566749.36181874992</v>
      </c>
    </row>
    <row r="4" spans="2:11" x14ac:dyDescent="0.35">
      <c r="B4" s="9" t="s">
        <v>2</v>
      </c>
      <c r="C4" s="17">
        <v>0.1</v>
      </c>
      <c r="D4" s="3"/>
      <c r="E4" s="19">
        <v>0</v>
      </c>
      <c r="F4" s="4">
        <f t="dataTable" ref="F4:K12" dt2D="0" dtr="0" r1="C5"/>
        <v>110000.00000000001</v>
      </c>
      <c r="G4" s="4">
        <v>110000.00000000001</v>
      </c>
      <c r="H4" s="4">
        <v>110000.00000000001</v>
      </c>
      <c r="I4" s="4">
        <v>110000.00000000001</v>
      </c>
      <c r="J4" s="4">
        <v>110000.00000000001</v>
      </c>
      <c r="K4" s="5">
        <v>550000.00000000012</v>
      </c>
    </row>
    <row r="5" spans="2:11" ht="15" thickBot="1" x14ac:dyDescent="0.4">
      <c r="B5" s="11" t="s">
        <v>3</v>
      </c>
      <c r="C5" s="18">
        <v>1.4999999999999999E-2</v>
      </c>
      <c r="D5" s="3"/>
      <c r="E5" s="19">
        <v>5.0000000000000001E-3</v>
      </c>
      <c r="F5" s="4">
        <v>110000.00000000001</v>
      </c>
      <c r="G5" s="4">
        <v>110550</v>
      </c>
      <c r="H5" s="4">
        <v>111102.74999999997</v>
      </c>
      <c r="I5" s="4">
        <v>111658.26374999997</v>
      </c>
      <c r="J5" s="4">
        <v>112216.55506874995</v>
      </c>
      <c r="K5" s="5">
        <v>555527.56881874998</v>
      </c>
    </row>
    <row r="6" spans="2:11" ht="15" thickBot="1" x14ac:dyDescent="0.4">
      <c r="B6" s="3"/>
      <c r="C6" s="3"/>
      <c r="D6" s="3"/>
      <c r="E6" s="19">
        <v>0.01</v>
      </c>
      <c r="F6" s="4">
        <v>110000.00000000001</v>
      </c>
      <c r="G6" s="4">
        <v>111100.00000000001</v>
      </c>
      <c r="H6" s="4">
        <v>112211.00000000001</v>
      </c>
      <c r="I6" s="4">
        <v>113333.11</v>
      </c>
      <c r="J6" s="4">
        <v>114466.44110000001</v>
      </c>
      <c r="K6" s="5">
        <v>561110.55110000004</v>
      </c>
    </row>
    <row r="7" spans="2:11" x14ac:dyDescent="0.35">
      <c r="B7" s="2" t="s">
        <v>4</v>
      </c>
      <c r="C7" s="1"/>
      <c r="D7" s="3"/>
      <c r="E7" s="19">
        <v>1.4999999999999999E-2</v>
      </c>
      <c r="F7" s="4">
        <v>110000.00000000001</v>
      </c>
      <c r="G7" s="4">
        <v>111650</v>
      </c>
      <c r="H7" s="4">
        <v>113324.74999999997</v>
      </c>
      <c r="I7" s="4">
        <v>115024.62124999997</v>
      </c>
      <c r="J7" s="4">
        <v>116749.99056874996</v>
      </c>
      <c r="K7" s="5">
        <v>566749.36181874992</v>
      </c>
    </row>
    <row r="8" spans="2:11" x14ac:dyDescent="0.35">
      <c r="B8" s="14" t="s">
        <v>5</v>
      </c>
      <c r="C8" s="15" t="s">
        <v>6</v>
      </c>
      <c r="D8" s="3"/>
      <c r="E8" s="19">
        <v>0.02</v>
      </c>
      <c r="F8" s="4">
        <v>110000.00000000001</v>
      </c>
      <c r="G8" s="4">
        <v>112200.00000000001</v>
      </c>
      <c r="H8" s="4">
        <v>114444.00000000001</v>
      </c>
      <c r="I8" s="4">
        <v>116732.87999999999</v>
      </c>
      <c r="J8" s="4">
        <v>119067.53760000001</v>
      </c>
      <c r="K8" s="5">
        <v>572444.41760000004</v>
      </c>
    </row>
    <row r="9" spans="2:11" x14ac:dyDescent="0.35">
      <c r="B9" s="12">
        <v>0</v>
      </c>
      <c r="C9" s="10">
        <f>($C$3*(1+$C$5)^$B9)*(1+$C$4)</f>
        <v>110000.00000000001</v>
      </c>
      <c r="D9" s="3"/>
      <c r="E9" s="19">
        <v>2.5000000000000001E-2</v>
      </c>
      <c r="F9" s="4">
        <v>110000.00000000001</v>
      </c>
      <c r="G9" s="4">
        <v>112750</v>
      </c>
      <c r="H9" s="4">
        <v>115568.75</v>
      </c>
      <c r="I9" s="4">
        <v>118457.96875</v>
      </c>
      <c r="J9" s="4">
        <v>121419.41796874997</v>
      </c>
      <c r="K9" s="5">
        <v>578196.13671875</v>
      </c>
    </row>
    <row r="10" spans="2:11" x14ac:dyDescent="0.35">
      <c r="B10" s="12">
        <v>1</v>
      </c>
      <c r="C10" s="10">
        <f t="shared" ref="C10:C14" si="0">($C$3*(1+$C$5)^$B10)*(1+$C$4)</f>
        <v>111650</v>
      </c>
      <c r="D10" s="3"/>
      <c r="E10" s="19">
        <v>0.03</v>
      </c>
      <c r="F10" s="4">
        <v>110000.00000000001</v>
      </c>
      <c r="G10" s="4">
        <v>113300.00000000001</v>
      </c>
      <c r="H10" s="4">
        <v>116699.00000000001</v>
      </c>
      <c r="I10" s="4">
        <v>120199.97</v>
      </c>
      <c r="J10" s="4">
        <v>123805.9691</v>
      </c>
      <c r="K10" s="5">
        <v>584004.93910000008</v>
      </c>
    </row>
    <row r="11" spans="2:11" x14ac:dyDescent="0.35">
      <c r="B11" s="12">
        <v>2</v>
      </c>
      <c r="C11" s="10">
        <f t="shared" si="0"/>
        <v>113324.74999999997</v>
      </c>
      <c r="D11" s="3"/>
      <c r="E11" s="19">
        <v>3.5000000000000003E-2</v>
      </c>
      <c r="F11" s="4">
        <v>110000.00000000001</v>
      </c>
      <c r="G11" s="4">
        <v>113850</v>
      </c>
      <c r="H11" s="4">
        <v>117834.75</v>
      </c>
      <c r="I11" s="4">
        <v>121958.96624999998</v>
      </c>
      <c r="J11" s="4">
        <v>126227.53006874998</v>
      </c>
      <c r="K11" s="5">
        <v>589871.24631874997</v>
      </c>
    </row>
    <row r="12" spans="2:11" ht="15" thickBot="1" x14ac:dyDescent="0.4">
      <c r="B12" s="12">
        <v>3</v>
      </c>
      <c r="C12" s="10">
        <f t="shared" si="0"/>
        <v>115024.62124999997</v>
      </c>
      <c r="D12" s="3"/>
      <c r="E12" s="20">
        <v>0.04</v>
      </c>
      <c r="F12" s="6">
        <v>110000.00000000001</v>
      </c>
      <c r="G12" s="6">
        <v>114400.00000000001</v>
      </c>
      <c r="H12" s="6">
        <v>118976.00000000003</v>
      </c>
      <c r="I12" s="6">
        <v>123735.04000000002</v>
      </c>
      <c r="J12" s="6">
        <v>128684.44160000002</v>
      </c>
      <c r="K12" s="7">
        <v>595795.48160000006</v>
      </c>
    </row>
    <row r="13" spans="2:11" x14ac:dyDescent="0.35">
      <c r="B13" s="12">
        <v>4</v>
      </c>
      <c r="C13" s="10">
        <f t="shared" si="0"/>
        <v>116749.99056874996</v>
      </c>
      <c r="D13" s="3"/>
      <c r="E13" s="3"/>
      <c r="F13" s="3"/>
      <c r="G13" s="3"/>
      <c r="H13" s="3"/>
      <c r="I13" s="3"/>
      <c r="J13" s="3"/>
      <c r="K13" s="3"/>
    </row>
    <row r="14" spans="2:11" ht="15" thickBot="1" x14ac:dyDescent="0.4">
      <c r="B14" s="13" t="s">
        <v>7</v>
      </c>
      <c r="C14" s="10">
        <f>SUM(C9:C13)</f>
        <v>566749.36181874992</v>
      </c>
      <c r="D14" s="3"/>
      <c r="E14" s="3"/>
      <c r="F14" s="3"/>
      <c r="G14" s="3"/>
      <c r="H14" s="3"/>
      <c r="I14" s="3"/>
      <c r="J14" s="3"/>
      <c r="K14" s="3"/>
    </row>
  </sheetData>
  <mergeCells count="2">
    <mergeCell ref="B2:C2"/>
    <mergeCell ref="B7:C7"/>
  </mergeCells>
  <phoneticPr fontId="4" type="noConversion"/>
  <conditionalFormatting sqref="F4:J12">
    <cfRule type="colorScale" priority="4">
      <colorScale>
        <cfvo type="min"/>
        <cfvo type="max"/>
        <color rgb="FFFCFCFF"/>
        <color theme="4" tint="0.59999389629810485"/>
      </colorScale>
    </cfRule>
  </conditionalFormatting>
  <conditionalFormatting sqref="K4:K12">
    <cfRule type="colorScale" priority="1">
      <colorScale>
        <cfvo type="min"/>
        <cfvo type="max"/>
        <color rgb="FFFCFCFF"/>
        <color theme="4" tint="0.59999389629810485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DD7F-B5C9-4652-B673-ACCB06D83C8A}">
  <sheetPr codeName="Sheet2"/>
  <dimension ref="B1:K14"/>
  <sheetViews>
    <sheetView tabSelected="1" zoomScale="123" workbookViewId="0">
      <selection activeCell="D6" sqref="D6"/>
    </sheetView>
  </sheetViews>
  <sheetFormatPr defaultRowHeight="14.5" x14ac:dyDescent="0.35"/>
  <cols>
    <col min="1" max="1" width="8.7265625" style="3"/>
    <col min="2" max="2" width="11.7265625" style="3" bestFit="1" customWidth="1"/>
    <col min="3" max="3" width="9.6328125" style="3" bestFit="1" customWidth="1"/>
    <col min="4" max="4" width="8.7265625" style="3"/>
    <col min="5" max="5" width="9.81640625" style="3" bestFit="1" customWidth="1"/>
    <col min="6" max="11" width="9.6328125" style="3" bestFit="1" customWidth="1"/>
    <col min="12" max="16384" width="8.7265625" style="3"/>
  </cols>
  <sheetData>
    <row r="1" spans="2:11" ht="15" thickBot="1" x14ac:dyDescent="0.4"/>
    <row r="2" spans="2:11" x14ac:dyDescent="0.35">
      <c r="B2" s="2" t="s">
        <v>0</v>
      </c>
      <c r="C2" s="1"/>
      <c r="E2" s="26" t="s">
        <v>8</v>
      </c>
      <c r="F2" s="25" t="s">
        <v>2</v>
      </c>
      <c r="G2" s="25"/>
      <c r="H2" s="25"/>
      <c r="I2" s="25"/>
      <c r="J2" s="25"/>
      <c r="K2" s="25"/>
    </row>
    <row r="3" spans="2:11" x14ac:dyDescent="0.35">
      <c r="B3" s="9" t="s">
        <v>1</v>
      </c>
      <c r="C3" s="16">
        <v>100000</v>
      </c>
      <c r="E3" s="22">
        <f>C14</f>
        <v>566749.36181874992</v>
      </c>
      <c r="F3" s="27">
        <v>0</v>
      </c>
      <c r="G3" s="27">
        <v>0.05</v>
      </c>
      <c r="H3" s="27">
        <v>0.1</v>
      </c>
      <c r="I3" s="27">
        <v>0.15</v>
      </c>
      <c r="J3" s="27">
        <v>0.2</v>
      </c>
      <c r="K3" s="27">
        <v>0.25</v>
      </c>
    </row>
    <row r="4" spans="2:11" x14ac:dyDescent="0.35">
      <c r="B4" s="9" t="s">
        <v>2</v>
      </c>
      <c r="C4" s="17">
        <v>0.1</v>
      </c>
      <c r="E4" s="19">
        <v>0</v>
      </c>
      <c r="F4" s="4">
        <f t="dataTable" ref="F4:K12" dt2D="1" dtr="1" r1="C4" r2="C5"/>
        <v>500000</v>
      </c>
      <c r="G4" s="4">
        <v>525000</v>
      </c>
      <c r="H4" s="4">
        <v>550000.00000000012</v>
      </c>
      <c r="I4" s="4">
        <v>574999.99999999988</v>
      </c>
      <c r="J4" s="4">
        <v>600000</v>
      </c>
      <c r="K4" s="5">
        <v>625000</v>
      </c>
    </row>
    <row r="5" spans="2:11" ht="15" thickBot="1" x14ac:dyDescent="0.4">
      <c r="B5" s="11" t="s">
        <v>3</v>
      </c>
      <c r="C5" s="18">
        <v>1.4999999999999999E-2</v>
      </c>
      <c r="E5" s="19">
        <v>5.0000000000000001E-3</v>
      </c>
      <c r="F5" s="4">
        <v>505025.06256249989</v>
      </c>
      <c r="G5" s="4">
        <v>530276.31569062488</v>
      </c>
      <c r="H5" s="4">
        <v>555527.56881874998</v>
      </c>
      <c r="I5" s="4">
        <v>580778.82194687473</v>
      </c>
      <c r="J5" s="4">
        <v>606030.07507499983</v>
      </c>
      <c r="K5" s="5">
        <v>631281.32820312493</v>
      </c>
    </row>
    <row r="6" spans="2:11" ht="15" thickBot="1" x14ac:dyDescent="0.4">
      <c r="E6" s="19">
        <v>0.01</v>
      </c>
      <c r="F6" s="4">
        <v>510100.50099999999</v>
      </c>
      <c r="G6" s="4">
        <v>535605.52604999999</v>
      </c>
      <c r="H6" s="4">
        <v>561110.55110000004</v>
      </c>
      <c r="I6" s="4">
        <v>586615.57614999986</v>
      </c>
      <c r="J6" s="4">
        <v>612120.60120000003</v>
      </c>
      <c r="K6" s="5">
        <v>637625.62624999997</v>
      </c>
    </row>
    <row r="7" spans="2:11" x14ac:dyDescent="0.35">
      <c r="B7" s="2" t="s">
        <v>4</v>
      </c>
      <c r="C7" s="1"/>
      <c r="E7" s="19">
        <v>1.4999999999999999E-2</v>
      </c>
      <c r="F7" s="4">
        <v>515226.6925624999</v>
      </c>
      <c r="G7" s="4">
        <v>540988.02719062497</v>
      </c>
      <c r="H7" s="4">
        <v>566749.36181874992</v>
      </c>
      <c r="I7" s="4">
        <v>592510.69644687476</v>
      </c>
      <c r="J7" s="4">
        <v>618272.03107499983</v>
      </c>
      <c r="K7" s="5">
        <v>644033.3657031249</v>
      </c>
    </row>
    <row r="8" spans="2:11" x14ac:dyDescent="0.35">
      <c r="B8" s="14" t="s">
        <v>5</v>
      </c>
      <c r="C8" s="15" t="s">
        <v>6</v>
      </c>
      <c r="E8" s="19">
        <v>0.02</v>
      </c>
      <c r="F8" s="4">
        <v>520404.016</v>
      </c>
      <c r="G8" s="4">
        <v>546424.21679999994</v>
      </c>
      <c r="H8" s="4">
        <v>572444.41760000004</v>
      </c>
      <c r="I8" s="4">
        <v>598464.61839999992</v>
      </c>
      <c r="J8" s="4">
        <v>624484.81919999991</v>
      </c>
      <c r="K8" s="5">
        <v>650505.02</v>
      </c>
    </row>
    <row r="9" spans="2:11" x14ac:dyDescent="0.35">
      <c r="B9" s="12">
        <v>0</v>
      </c>
      <c r="C9" s="10">
        <f>($C$3*(1+$C$5)^$B9)*(1+$C$4)</f>
        <v>110000.00000000001</v>
      </c>
      <c r="E9" s="19">
        <v>2.5000000000000001E-2</v>
      </c>
      <c r="F9" s="4">
        <v>525632.8515625</v>
      </c>
      <c r="G9" s="4">
        <v>551914.494140625</v>
      </c>
      <c r="H9" s="4">
        <v>578196.13671875</v>
      </c>
      <c r="I9" s="4">
        <v>604477.77929687488</v>
      </c>
      <c r="J9" s="4">
        <v>630759.42187499988</v>
      </c>
      <c r="K9" s="5">
        <v>657041.064453125</v>
      </c>
    </row>
    <row r="10" spans="2:11" x14ac:dyDescent="0.35">
      <c r="B10" s="12">
        <v>1</v>
      </c>
      <c r="C10" s="10">
        <f t="shared" ref="C10:C14" si="0">($C$3*(1+$C$5)^$B10)*(1+$C$4)</f>
        <v>111650</v>
      </c>
      <c r="E10" s="19">
        <v>0.03</v>
      </c>
      <c r="F10" s="4">
        <v>530913.58100000001</v>
      </c>
      <c r="G10" s="4">
        <v>557459.26005000004</v>
      </c>
      <c r="H10" s="4">
        <v>584004.93910000008</v>
      </c>
      <c r="I10" s="4">
        <v>610550.61814999988</v>
      </c>
      <c r="J10" s="4">
        <v>637096.29719999991</v>
      </c>
      <c r="K10" s="5">
        <v>663641.97625000007</v>
      </c>
    </row>
    <row r="11" spans="2:11" x14ac:dyDescent="0.35">
      <c r="B11" s="12">
        <v>2</v>
      </c>
      <c r="C11" s="10">
        <f t="shared" si="0"/>
        <v>113324.74999999997</v>
      </c>
      <c r="E11" s="19">
        <v>3.5000000000000003E-2</v>
      </c>
      <c r="F11" s="4">
        <v>536246.58756249992</v>
      </c>
      <c r="G11" s="4">
        <v>563058.91694062494</v>
      </c>
      <c r="H11" s="4">
        <v>589871.24631874997</v>
      </c>
      <c r="I11" s="4">
        <v>616683.57569687488</v>
      </c>
      <c r="J11" s="4">
        <v>643495.9050749999</v>
      </c>
      <c r="K11" s="5">
        <v>670308.23445312493</v>
      </c>
    </row>
    <row r="12" spans="2:11" ht="15" thickBot="1" x14ac:dyDescent="0.4">
      <c r="B12" s="12">
        <v>3</v>
      </c>
      <c r="C12" s="10">
        <f t="shared" si="0"/>
        <v>115024.62124999997</v>
      </c>
      <c r="E12" s="20">
        <v>0.04</v>
      </c>
      <c r="F12" s="6">
        <v>541632.25600000005</v>
      </c>
      <c r="G12" s="6">
        <v>568713.86880000005</v>
      </c>
      <c r="H12" s="6">
        <v>595795.48160000006</v>
      </c>
      <c r="I12" s="6">
        <v>622877.09440000006</v>
      </c>
      <c r="J12" s="6">
        <v>649958.70720000006</v>
      </c>
      <c r="K12" s="7">
        <v>677040.32000000007</v>
      </c>
    </row>
    <row r="13" spans="2:11" x14ac:dyDescent="0.35">
      <c r="B13" s="12">
        <v>4</v>
      </c>
      <c r="C13" s="10">
        <f t="shared" si="0"/>
        <v>116749.99056874996</v>
      </c>
    </row>
    <row r="14" spans="2:11" ht="15" thickBot="1" x14ac:dyDescent="0.4">
      <c r="B14" s="13" t="s">
        <v>7</v>
      </c>
      <c r="C14" s="10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4" tint="0.7999816888943144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Data_table_one_in_put</vt:lpstr>
      <vt:lpstr>Data_table_two_in_put</vt:lpstr>
      <vt:lpstr>Base</vt:lpstr>
      <vt:lpstr>Bonus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Joma</dc:creator>
  <cp:lastModifiedBy>Fadi Joma</cp:lastModifiedBy>
  <dcterms:created xsi:type="dcterms:W3CDTF">2026-07-29T12:11:19Z</dcterms:created>
  <dcterms:modified xsi:type="dcterms:W3CDTF">2026-07-31T10:35:05Z</dcterms:modified>
</cp:coreProperties>
</file>