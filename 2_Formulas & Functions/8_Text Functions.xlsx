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10"/>
  <workbookPr/>
  <xr:revisionPtr revIDLastSave="71" documentId="11_0B1D56BE9CDCCE836B02CE7A5FB0D4A9BBFD1C62" xr6:coauthVersionLast="47" xr6:coauthVersionMax="47" xr10:uidLastSave="{DE44E350-AB68-49AB-8B12-A350AF2A2907}"/>
  <bookViews>
    <workbookView xWindow="240" yWindow="105" windowWidth="14805" windowHeight="8010" firstSheet="1" activeTab="1" xr2:uid="{00000000-000D-0000-FFFF-FFFF00000000}"/>
  </bookViews>
  <sheets>
    <sheet name="Data" sheetId="1" r:id="rId1"/>
    <sheet name="Skill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2" l="1" a="1"/>
  <c r="A9" i="2"/>
  <c r="B9" i="2"/>
  <c r="B10" i="2"/>
  <c r="B11" i="2"/>
  <c r="B12" i="2"/>
  <c r="B13" i="2"/>
  <c r="B14" i="2"/>
  <c r="B15" i="2"/>
  <c r="B16" i="2"/>
  <c r="B17" i="2"/>
  <c r="B18" i="2"/>
  <c r="B19" i="2"/>
  <c r="B20" i="2"/>
  <c r="B21" i="2"/>
  <c r="B22" i="2"/>
  <c r="B23" i="2"/>
  <c r="B24" i="2"/>
  <c r="B25" i="2"/>
  <c r="B26" i="2"/>
  <c r="B27" i="2"/>
  <c r="B28" i="2"/>
  <c r="B29" i="2"/>
  <c r="B30" i="2"/>
  <c r="B31" i="2"/>
  <c r="B32" i="2"/>
  <c r="A3" i="2"/>
  <c r="A6" i="2" a="1"/>
  <c r="A6" i="2"/>
  <c r="J2" i="1"/>
  <c r="Q2" i="1"/>
  <c r="R2" i="1" s="1"/>
  <c r="Q3" i="1"/>
  <c r="R3" i="1"/>
  <c r="S3" i="1"/>
  <c r="Q4" i="1"/>
  <c r="R4" i="1"/>
  <c r="S4" i="1"/>
  <c r="Q5" i="1"/>
  <c r="R5" i="1"/>
  <c r="S5" i="1"/>
  <c r="Q6" i="1"/>
  <c r="R6" i="1"/>
  <c r="S6" i="1"/>
  <c r="Q7" i="1"/>
  <c r="R7" i="1"/>
  <c r="S7" i="1"/>
  <c r="Q8" i="1"/>
  <c r="R8" i="1"/>
  <c r="S8" i="1"/>
  <c r="Q9" i="1"/>
  <c r="R9" i="1"/>
  <c r="S9" i="1"/>
  <c r="Q10" i="1"/>
  <c r="R10" i="1"/>
  <c r="S10" i="1"/>
  <c r="Q11" i="1"/>
  <c r="R11" i="1"/>
  <c r="S11" i="1"/>
  <c r="Q12" i="1"/>
  <c r="R12" i="1"/>
  <c r="S12" i="1"/>
  <c r="Q13" i="1"/>
  <c r="R13" i="1"/>
  <c r="S13" i="1"/>
  <c r="Q14" i="1"/>
  <c r="R14" i="1"/>
  <c r="S14" i="1"/>
  <c r="Q15" i="1"/>
  <c r="R15" i="1"/>
  <c r="S15" i="1"/>
  <c r="Q16" i="1"/>
  <c r="R16" i="1"/>
  <c r="S16" i="1"/>
  <c r="Q17" i="1"/>
  <c r="R17" i="1"/>
  <c r="S17" i="1"/>
  <c r="Q18" i="1"/>
  <c r="R18" i="1"/>
  <c r="S18" i="1"/>
  <c r="Q19" i="1"/>
  <c r="R19" i="1"/>
  <c r="S19" i="1"/>
  <c r="Q20" i="1"/>
  <c r="R20" i="1"/>
  <c r="S20" i="1"/>
  <c r="Q21" i="1"/>
  <c r="R21" i="1"/>
  <c r="S21" i="1"/>
  <c r="S2" i="1"/>
  <c r="L2" i="1" a="1"/>
  <c r="L2" i="1"/>
  <c r="O2" i="1"/>
  <c r="O3" i="1"/>
  <c r="O4" i="1"/>
  <c r="O5" i="1"/>
  <c r="O6" i="1"/>
  <c r="O7" i="1"/>
  <c r="O8" i="1"/>
  <c r="O9" i="1"/>
  <c r="O10" i="1"/>
  <c r="O11" i="1"/>
  <c r="O12" i="1"/>
  <c r="O13" i="1"/>
  <c r="O14" i="1"/>
  <c r="O15" i="1"/>
  <c r="O16" i="1"/>
  <c r="O17" i="1"/>
  <c r="O18" i="1"/>
  <c r="O19" i="1"/>
  <c r="O20" i="1"/>
  <c r="O21" i="1"/>
  <c r="L3" i="1" a="1"/>
  <c r="L3" i="1"/>
  <c r="L4" i="1" a="1"/>
  <c r="L4" i="1"/>
  <c r="L5" i="1" a="1"/>
  <c r="L5" i="1"/>
  <c r="L6" i="1" a="1"/>
  <c r="L6" i="1"/>
  <c r="L7" i="1" a="1"/>
  <c r="L7" i="1"/>
  <c r="L8" i="1" a="1"/>
  <c r="L8" i="1"/>
  <c r="L9" i="1" a="1"/>
  <c r="L9" i="1"/>
  <c r="L10" i="1" a="1"/>
  <c r="L10" i="1"/>
  <c r="L11" i="1" a="1"/>
  <c r="L11" i="1"/>
  <c r="L12" i="1" a="1"/>
  <c r="L12" i="1"/>
  <c r="L13" i="1" a="1"/>
  <c r="L13" i="1"/>
  <c r="L14" i="1" a="1"/>
  <c r="L14" i="1"/>
  <c r="L15" i="1" a="1"/>
  <c r="L15" i="1"/>
  <c r="L16" i="1" a="1"/>
  <c r="L16" i="1"/>
  <c r="L17" i="1" a="1"/>
  <c r="L17" i="1"/>
  <c r="L18" i="1" a="1"/>
  <c r="L18" i="1"/>
  <c r="L19" i="1" a="1"/>
  <c r="L19" i="1"/>
  <c r="L20" i="1" a="1"/>
  <c r="L20" i="1"/>
  <c r="L21" i="1" a="1"/>
  <c r="L21" i="1"/>
  <c r="J3" i="1"/>
  <c r="J4" i="1"/>
  <c r="J5" i="1"/>
  <c r="J6" i="1"/>
  <c r="J7" i="1"/>
  <c r="J8" i="1"/>
  <c r="J9" i="1"/>
  <c r="J10" i="1"/>
  <c r="J11" i="1"/>
  <c r="J12" i="1"/>
  <c r="J13" i="1"/>
  <c r="J14" i="1"/>
  <c r="J15" i="1"/>
  <c r="J16" i="1"/>
  <c r="J17" i="1"/>
  <c r="J18" i="1"/>
  <c r="J19" i="1"/>
  <c r="J20" i="1"/>
  <c r="J2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<sst xmlns="http://schemas.openxmlformats.org/spreadsheetml/2006/main" count="160" uniqueCount="94">
  <si>
    <t>Applicant ID</t>
  </si>
  <si>
    <t>Full Name</t>
  </si>
  <si>
    <t>Job Position</t>
  </si>
  <si>
    <t>Application Date &amp; Time</t>
  </si>
  <si>
    <t>Email</t>
  </si>
  <si>
    <t>Street</t>
  </si>
  <si>
    <t>City State Zip</t>
  </si>
  <si>
    <t>Skills List</t>
  </si>
  <si>
    <t>Full Address</t>
  </si>
  <si>
    <t>First Name</t>
  </si>
  <si>
    <t>Last Name</t>
  </si>
  <si>
    <t>Applicant ID (Short)</t>
  </si>
  <si>
    <t>Find and MID (State)</t>
  </si>
  <si>
    <t>AID0123548</t>
  </si>
  <si>
    <t>Pam Beesly</t>
  </si>
  <si>
    <t>Data Analyst</t>
  </si>
  <si>
    <t>pam.beesly@outlook.com</t>
  </si>
  <si>
    <t>457 Oak St</t>
  </si>
  <si>
    <t>San Jose, CA, 95101</t>
  </si>
  <si>
    <t>Kafka, DataBricks, Spark, Python, GCP</t>
  </si>
  <si>
    <t>AID0123549</t>
  </si>
  <si>
    <t>Michael Scott</t>
  </si>
  <si>
    <t>Business Intelligence Analyst</t>
  </si>
  <si>
    <t>michael.scott@gmail.com</t>
  </si>
  <si>
    <t>203 Birch St</t>
  </si>
  <si>
    <t>Chicago, IL, 60601</t>
  </si>
  <si>
    <t>Power BI, GCP, Airflow, Hadoop, R</t>
  </si>
  <si>
    <t>AID0123550</t>
  </si>
  <si>
    <t>Kevin Malone</t>
  </si>
  <si>
    <t>Data Engineer</t>
  </si>
  <si>
    <t>kevin.malone@aol.com</t>
  </si>
  <si>
    <t>790 Pine St</t>
  </si>
  <si>
    <t>Azure, Java, SQL, DataBricks</t>
  </si>
  <si>
    <t>AID0123551</t>
  </si>
  <si>
    <t>AID0123552</t>
  </si>
  <si>
    <t>Jim Halpert</t>
  </si>
  <si>
    <t>Data Scientist</t>
  </si>
  <si>
    <t>jim.halpert@hotmail.com</t>
  </si>
  <si>
    <t>459 Oak St</t>
  </si>
  <si>
    <t>Philadelphia, PA, 19101</t>
  </si>
  <si>
    <t>DataBricks, Hadoop, Java</t>
  </si>
  <si>
    <t>AID0123553</t>
  </si>
  <si>
    <t>Ryan Howard</t>
  </si>
  <si>
    <t>Machine Learning Engineer</t>
  </si>
  <si>
    <t>ryan.howard@aol.com</t>
  </si>
  <si>
    <t>204 Birch St</t>
  </si>
  <si>
    <t>Snowflake, Airflow, DataBricks</t>
  </si>
  <si>
    <t>AID0123554</t>
  </si>
  <si>
    <t>AID0123555</t>
  </si>
  <si>
    <t>AID0123556</t>
  </si>
  <si>
    <t>Stanley Hudson</t>
  </si>
  <si>
    <t>stanley.hudson@gmail.com</t>
  </si>
  <si>
    <t>123 Elm St</t>
  </si>
  <si>
    <t>Scala, Azure, R, Kafka</t>
  </si>
  <si>
    <t>AID0123557</t>
  </si>
  <si>
    <t>Angela Martin</t>
  </si>
  <si>
    <t>angela.martin@ymail.com</t>
  </si>
  <si>
    <t>Los Angeles, CA, 90001</t>
  </si>
  <si>
    <t>Snowflake, Excel, Scala</t>
  </si>
  <si>
    <t>AID0123558</t>
  </si>
  <si>
    <t>Dwight Schrute</t>
  </si>
  <si>
    <t>dwight.schrute@gmail.com</t>
  </si>
  <si>
    <t>San Diego, CA, 92101</t>
  </si>
  <si>
    <t>Excel, Power BI, R</t>
  </si>
  <si>
    <t>AID0123559</t>
  </si>
  <si>
    <t>Oscar Martinez</t>
  </si>
  <si>
    <t>oscar.martinez@outlook.com</t>
  </si>
  <si>
    <t>202 Birch St</t>
  </si>
  <si>
    <t>Scala, R, Hadoop, Power BI, SQL</t>
  </si>
  <si>
    <t>AID0123560</t>
  </si>
  <si>
    <t>AID0123561</t>
  </si>
  <si>
    <t>Phyllis Vance</t>
  </si>
  <si>
    <t>phyllis.vance@gmail.com</t>
  </si>
  <si>
    <t>Java, Scala, R</t>
  </si>
  <si>
    <t>AID0123562</t>
  </si>
  <si>
    <t>Meredith Palmer</t>
  </si>
  <si>
    <t>meredith.palmer@outlook.com</t>
  </si>
  <si>
    <t>456 Oak St</t>
  </si>
  <si>
    <t>DataBricks, Azure, Scala</t>
  </si>
  <si>
    <t>AID0123563</t>
  </si>
  <si>
    <t>Chicago, IL, 60602</t>
  </si>
  <si>
    <t>AID0123564</t>
  </si>
  <si>
    <t>AID0123565</t>
  </si>
  <si>
    <t>Kelly Kapoor</t>
  </si>
  <si>
    <t>kelly.kapoor@gmail.com</t>
  </si>
  <si>
    <t>New York, NY, 10001</t>
  </si>
  <si>
    <t>Snowflake, Power BI, Tableau, Airflow, SQL</t>
  </si>
  <si>
    <t>AID0123566</t>
  </si>
  <si>
    <t>AID0123567</t>
  </si>
  <si>
    <t>=TEXTJOIN(", ", TRUE, Data!H2:H21)</t>
  </si>
  <si>
    <t>=TEXTSPLIT(A3, ", ")</t>
  </si>
  <si>
    <t> </t>
  </si>
  <si>
    <t>=UNIQUE(TRANSPOSE(6:6))</t>
  </si>
  <si>
    <t>=COUNTIF($6:$6,A9)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</si>
</sst>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rgb="FF000000"/>
      <name val="Calibri"/>
      <family val="2"/>
    </font>
    <font>
      <sz val="11"/>
      <color rgb="FF000000"/>
      <name val="Calibri"/>
      <family val="2"/>
    </font>
  </fonts>
  <fills count="3">
    <fill>
      <patternFill patternType="none"/>
    </fill>
    <fill>
      <patternFill patternType="gray125"/>
    </fill>
    <fill>
      <patternFill patternType="solid">
        <fgColor rgb="FFD9D9D9"/>
        <bgColor rgb="FF000000"/>
      </patternFill>
    </fill>
  </fills>
  <borders count="12">
    <border>
      <left/>
      <right/>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xf numFmtId="0" fontId="1" fillId="2" borderId="2" xfId="0" applyFont="1" applyFill="1" applyBorder="1" applyAlignment="1"/>
    <xf numFmtId="0" fontId="2" fillId="0" borderId="4" xfId="0" applyFont="1" applyFill="1" applyBorder="1" applyAlignment="1"/>
    <xf numFmtId="0" fontId="2" fillId="0" borderId="5" xfId="0" applyFont="1" applyFill="1" applyBorder="1" applyAlignment="1"/>
    <xf numFmtId="22" fontId="2" fillId="0" borderId="5" xfId="0" applyNumberFormat="1" applyFont="1" applyFill="1" applyBorder="1" applyAlignment="1"/>
    <xf numFmtId="0" fontId="2" fillId="0" borderId="7" xfId="0" applyFont="1" applyFill="1" applyBorder="1" applyAlignment="1"/>
    <xf numFmtId="22" fontId="2" fillId="0" borderId="7" xfId="0" applyNumberFormat="1" applyFont="1" applyFill="1" applyBorder="1" applyAlignment="1"/>
    <xf numFmtId="0" fontId="1" fillId="2" borderId="3" xfId="0" applyFont="1" applyFill="1" applyBorder="1" applyAlignment="1">
      <alignment wrapText="1"/>
    </xf>
    <xf numFmtId="0" fontId="2" fillId="0" borderId="6" xfId="0" applyFont="1" applyFill="1" applyBorder="1" applyAlignment="1">
      <alignment wrapText="1"/>
    </xf>
    <xf numFmtId="0" fontId="2" fillId="0" borderId="8" xfId="0" applyFont="1" applyFill="1" applyBorder="1" applyAlignment="1">
      <alignment wrapText="1"/>
    </xf>
    <xf numFmtId="0" fontId="1" fillId="2" borderId="0" xfId="0" applyFont="1" applyFill="1" applyBorder="1" applyAlignment="1"/>
    <xf numFmtId="0" fontId="1" fillId="2" borderId="0" xfId="0" quotePrefix="1" applyFont="1" applyFill="1" applyBorder="1" applyAlignment="1"/>
    <xf numFmtId="0" fontId="1" fillId="2" borderId="0" xfId="0" applyFont="1" applyFill="1" applyAlignment="1"/>
    <xf numFmtId="0" fontId="2" fillId="0" borderId="0" xfId="0" applyFont="1" applyFill="1" applyAlignment="1"/>
    <xf numFmtId="0" fontId="2" fillId="2" borderId="0" xfId="0" applyFont="1" applyFill="1" applyBorder="1" applyAlignment="1"/>
    <xf numFmtId="0" fontId="2" fillId="0" borderId="10" xfId="0" applyFont="1" applyFill="1" applyBorder="1" applyAlignment="1"/>
    <xf numFmtId="0" fontId="2" fillId="0" borderId="0" xfId="0" applyFont="1" applyFill="1" applyBorder="1" applyAlignment="1"/>
    <xf numFmtId="0" fontId="2" fillId="0" borderId="0" xfId="0" applyFont="1" applyFill="1" applyBorder="1" applyAlignment="1">
      <alignment wrapText="1"/>
    </xf>
    <xf numFmtId="0" fontId="1" fillId="2" borderId="0" xfId="0" quotePrefix="1" applyFont="1" applyFill="1" applyBorder="1" applyAlignment="1">
      <alignment wrapText="1"/>
    </xf>
    <xf numFmtId="0" fontId="2" fillId="0" borderId="9" xfId="0" applyFont="1" applyFill="1" applyBorder="1" applyAlignment="1">
      <alignment wrapText="1"/>
    </xf>
    <xf numFmtId="0" fontId="2" fillId="0" borderId="11" xfId="0" applyFont="1" applyFill="1" applyBorder="1" applyAlignment="1">
      <alignment wrapText="1"/>
    </xf>
    <xf numFmtId="0" fontId="2" fillId="0" borderId="0" xfId="0" applyFont="1" applyFill="1" applyBorder="1" applyAlignment="1"/>
    <xf numFmtId="0" fontId="1" fillId="2" borderId="0"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Skills!$A$9:$A$31</c:f>
              <c:strCache>
                <c:ptCount val="23"/>
                <c:pt idx="0">
                  <c:v>Kafka</c:v>
                </c:pt>
                <c:pt idx="1">
                  <c:v> DataBricks</c:v>
                </c:pt>
                <c:pt idx="2">
                  <c:v> Spark</c:v>
                </c:pt>
                <c:pt idx="3">
                  <c:v> Python</c:v>
                </c:pt>
                <c:pt idx="4">
                  <c:v> GCP</c:v>
                </c:pt>
                <c:pt idx="5">
                  <c:v>Power BI</c:v>
                </c:pt>
                <c:pt idx="6">
                  <c:v> Airflow</c:v>
                </c:pt>
                <c:pt idx="7">
                  <c:v> Hadoop</c:v>
                </c:pt>
                <c:pt idx="8">
                  <c:v> R</c:v>
                </c:pt>
                <c:pt idx="9">
                  <c:v>Azure</c:v>
                </c:pt>
                <c:pt idx="10">
                  <c:v> Java</c:v>
                </c:pt>
                <c:pt idx="11">
                  <c:v> SQL</c:v>
                </c:pt>
                <c:pt idx="12">
                  <c:v>DataBricks</c:v>
                </c:pt>
                <c:pt idx="13">
                  <c:v>Snowflake</c:v>
                </c:pt>
                <c:pt idx="14">
                  <c:v>Scala</c:v>
                </c:pt>
                <c:pt idx="15">
                  <c:v> Azure</c:v>
                </c:pt>
                <c:pt idx="16">
                  <c:v> Kafka</c:v>
                </c:pt>
                <c:pt idx="17">
                  <c:v> Excel</c:v>
                </c:pt>
                <c:pt idx="18">
                  <c:v> Scala</c:v>
                </c:pt>
                <c:pt idx="19">
                  <c:v>Excel</c:v>
                </c:pt>
                <c:pt idx="20">
                  <c:v> Power BI</c:v>
                </c:pt>
                <c:pt idx="21">
                  <c:v>Java</c:v>
                </c:pt>
                <c:pt idx="22">
                  <c:v> Tableau</c:v>
                </c:pt>
              </c:strCache>
            </c:strRef>
          </c:cat>
          <c:val>
            <c:numRef>
              <c:f>Skills!$B$9:$B$31</c:f>
              <c:numCache>
                <c:formatCode>General</c:formatCode>
                <c:ptCount val="23"/>
                <c:pt idx="0">
                  <c:v>2</c:v>
                </c:pt>
                <c:pt idx="1">
                  <c:v>7</c:v>
                </c:pt>
                <c:pt idx="2">
                  <c:v>2</c:v>
                </c:pt>
                <c:pt idx="3">
                  <c:v>2</c:v>
                </c:pt>
                <c:pt idx="4">
                  <c:v>4</c:v>
                </c:pt>
                <c:pt idx="5">
                  <c:v>2</c:v>
                </c:pt>
                <c:pt idx="6">
                  <c:v>6</c:v>
                </c:pt>
                <c:pt idx="7">
                  <c:v>7</c:v>
                </c:pt>
                <c:pt idx="8">
                  <c:v>6</c:v>
                </c:pt>
                <c:pt idx="9">
                  <c:v>2</c:v>
                </c:pt>
                <c:pt idx="10">
                  <c:v>6</c:v>
                </c:pt>
                <c:pt idx="11">
                  <c:v>4</c:v>
                </c:pt>
                <c:pt idx="12">
                  <c:v>5</c:v>
                </c:pt>
                <c:pt idx="13">
                  <c:v>5</c:v>
                </c:pt>
                <c:pt idx="14">
                  <c:v>2</c:v>
                </c:pt>
                <c:pt idx="15">
                  <c:v>2</c:v>
                </c:pt>
                <c:pt idx="16">
                  <c:v>1</c:v>
                </c:pt>
                <c:pt idx="17">
                  <c:v>1</c:v>
                </c:pt>
                <c:pt idx="18">
                  <c:v>3</c:v>
                </c:pt>
                <c:pt idx="19">
                  <c:v>1</c:v>
                </c:pt>
                <c:pt idx="20">
                  <c:v>3</c:v>
                </c:pt>
                <c:pt idx="21">
                  <c:v>1</c:v>
                </c:pt>
                <c:pt idx="22">
                  <c:v>1</c:v>
                </c:pt>
              </c:numCache>
            </c:numRef>
          </c:val>
          <c:extLst>
            <c:ext xmlns:c16="http://schemas.microsoft.com/office/drawing/2014/chart" uri="{C3380CC4-5D6E-409C-BE32-E72D297353CC}">
              <c16:uniqueId val="{00000000-7D97-46C3-9AA3-18EB7166F28A}"/>
            </c:ext>
          </c:extLst>
        </c:ser>
        <c:dLbls>
          <c:showLegendKey val="0"/>
          <c:showVal val="0"/>
          <c:showCatName val="0"/>
          <c:showSerName val="0"/>
          <c:showPercent val="0"/>
          <c:showBubbleSize val="0"/>
        </c:dLbls>
        <c:gapWidth val="219"/>
        <c:overlap val="-27"/>
        <c:axId val="1753340424"/>
        <c:axId val="1753342472"/>
      </c:barChart>
      <c:catAx>
        <c:axId val="1753340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342472"/>
        <c:crosses val="autoZero"/>
        <c:auto val="1"/>
        <c:lblAlgn val="ctr"/>
        <c:lblOffset val="100"/>
        <c:noMultiLvlLbl val="0"/>
      </c:catAx>
      <c:valAx>
        <c:axId val="1753342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340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257175</xdr:colOff>
      <xdr:row>0</xdr:row>
      <xdr:rowOff>0</xdr:rowOff>
    </xdr:from>
    <xdr:to>
      <xdr:col>9</xdr:col>
      <xdr:colOff>561975</xdr:colOff>
      <xdr:row>14</xdr:row>
      <xdr:rowOff>76200</xdr:rowOff>
    </xdr:to>
    <xdr:graphicFrame macro="">
      <xdr:nvGraphicFramePr>
        <xdr:cNvPr id="2" name="Chart 1">
          <a:extLst>
            <a:ext uri="{FF2B5EF4-FFF2-40B4-BE49-F238E27FC236}">
              <a16:creationId xmlns:a16="http://schemas.microsoft.com/office/drawing/2014/main" id="{0002D9EE-C8EF-4651-4BFF-242B4BC21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
  <sheetViews>
    <sheetView topLeftCell="C8" workbookViewId="0">
      <selection activeCell="H2" sqref="H2"/>
    </sheetView>
  </sheetViews>
  <sheetFormatPr defaultRowHeight="15"/>
  <cols>
    <col min="1" max="1" width="11.7109375" bestFit="1" customWidth="1"/>
    <col min="2" max="2" width="15.7109375" bestFit="1" customWidth="1"/>
    <col min="3" max="3" width="25.85546875" customWidth="1"/>
    <col min="4" max="4" width="22.5703125" customWidth="1"/>
    <col min="5" max="5" width="28.5703125" customWidth="1"/>
    <col min="6" max="6" width="11.28515625" customWidth="1"/>
    <col min="7" max="7" width="21.42578125" customWidth="1"/>
    <col min="8" max="8" width="36.5703125" customWidth="1"/>
    <col min="9" max="9" width="9.140625" customWidth="1"/>
    <col min="10" max="10" width="32.28515625" customWidth="1"/>
    <col min="12" max="12" width="10.5703125" bestFit="1" customWidth="1"/>
    <col min="13" max="13" width="10.140625" bestFit="1" customWidth="1"/>
    <col min="15" max="15" width="18.42578125" bestFit="1" customWidth="1"/>
    <col min="17" max="17" width="9.7109375" bestFit="1" customWidth="1"/>
    <col min="19" max="19" width="11.7109375" customWidth="1"/>
  </cols>
  <sheetData>
    <row r="1" spans="1:19">
      <c r="A1" s="1" t="s">
        <v>0</v>
      </c>
      <c r="B1" s="2" t="s">
        <v>1</v>
      </c>
      <c r="C1" s="2" t="s">
        <v>2</v>
      </c>
      <c r="D1" s="2" t="s">
        <v>3</v>
      </c>
      <c r="E1" s="2" t="s">
        <v>4</v>
      </c>
      <c r="F1" s="2" t="s">
        <v>5</v>
      </c>
      <c r="G1" s="2" t="s">
        <v>6</v>
      </c>
      <c r="H1" s="8" t="s">
        <v>7</v>
      </c>
      <c r="I1" s="17"/>
      <c r="J1" s="11" t="s">
        <v>8</v>
      </c>
      <c r="K1" s="17"/>
      <c r="L1" s="11" t="s">
        <v>9</v>
      </c>
      <c r="M1" s="11" t="s">
        <v>10</v>
      </c>
      <c r="N1" s="17"/>
      <c r="O1" s="11" t="s">
        <v>11</v>
      </c>
      <c r="P1" s="17"/>
      <c r="Q1" s="23" t="s">
        <v>12</v>
      </c>
      <c r="R1" s="23"/>
      <c r="S1" s="23"/>
    </row>
    <row r="2" spans="1:19">
      <c r="A2" s="3" t="s">
        <v>13</v>
      </c>
      <c r="B2" s="4" t="s">
        <v>14</v>
      </c>
      <c r="C2" s="4" t="s">
        <v>15</v>
      </c>
      <c r="D2" s="5">
        <v>44971.640277777777</v>
      </c>
      <c r="E2" s="4" t="s">
        <v>16</v>
      </c>
      <c r="F2" s="4" t="s">
        <v>17</v>
      </c>
      <c r="G2" s="4" t="s">
        <v>18</v>
      </c>
      <c r="H2" s="9" t="s">
        <v>19</v>
      </c>
      <c r="I2" s="17"/>
      <c r="J2" s="17" t="str">
        <f>_xlfn.TEXTJOIN(" ",TRUE,F2:G2)</f>
        <v>457 Oak St San Jose, CA, 95101</v>
      </c>
      <c r="K2" s="17"/>
      <c r="L2" s="17" t="str" cm="1">
        <f t="array" ref="L2:M2">_xlfn.TEXTSPLIT(B2," ")</f>
        <v>Pam</v>
      </c>
      <c r="M2" s="17" t="str">
        <v>Beesly</v>
      </c>
      <c r="N2" s="17"/>
      <c r="O2" s="17" t="str">
        <f>RIGHT(A2,3)</f>
        <v>548</v>
      </c>
      <c r="P2" s="17"/>
      <c r="Q2" s="17">
        <f>FIND(",",J2)+2</f>
        <v>22</v>
      </c>
      <c r="R2" s="17">
        <f>FIND(",",J2,Q2)</f>
        <v>24</v>
      </c>
      <c r="S2" s="17" t="str">
        <f>MID(J2,Q2,R2-Q2)</f>
        <v>CA</v>
      </c>
    </row>
    <row r="3" spans="1:19">
      <c r="A3" s="3" t="s">
        <v>20</v>
      </c>
      <c r="B3" s="4" t="s">
        <v>21</v>
      </c>
      <c r="C3" s="4" t="s">
        <v>22</v>
      </c>
      <c r="D3" s="5">
        <v>45055.40625</v>
      </c>
      <c r="E3" s="4" t="s">
        <v>23</v>
      </c>
      <c r="F3" s="4" t="s">
        <v>24</v>
      </c>
      <c r="G3" s="4" t="s">
        <v>25</v>
      </c>
      <c r="H3" s="9" t="s">
        <v>26</v>
      </c>
      <c r="I3" s="17"/>
      <c r="J3" s="17" t="str">
        <f t="shared" ref="J3:J21" si="0">_xlfn.TEXTJOIN(" ",TRUE,F3:G3)</f>
        <v>203 Birch St Chicago, IL, 60601</v>
      </c>
      <c r="K3" s="17"/>
      <c r="L3" s="17" t="str" cm="1">
        <f t="array" ref="L3:M3">_xlfn.TEXTSPLIT(B3," ")</f>
        <v>Michael</v>
      </c>
      <c r="M3" s="17" t="str">
        <v>Scott</v>
      </c>
      <c r="N3" s="17"/>
      <c r="O3" s="17" t="str">
        <f t="shared" ref="O3:O21" si="1">RIGHT(A3,3)</f>
        <v>549</v>
      </c>
      <c r="P3" s="17"/>
      <c r="Q3" s="17">
        <f t="shared" ref="Q3:Q21" si="2">FIND(",",J3)+2</f>
        <v>23</v>
      </c>
      <c r="R3" s="17">
        <f t="shared" ref="R3:R21" si="3">FIND(",",J3,Q3)</f>
        <v>25</v>
      </c>
      <c r="S3" s="17" t="str">
        <f t="shared" ref="S3:S21" si="4">MID(J3,Q3,R3-Q3)</f>
        <v>IL</v>
      </c>
    </row>
    <row r="4" spans="1:19">
      <c r="A4" s="3" t="s">
        <v>27</v>
      </c>
      <c r="B4" s="4" t="s">
        <v>28</v>
      </c>
      <c r="C4" s="4" t="s">
        <v>29</v>
      </c>
      <c r="D4" s="5">
        <v>45128.729166666664</v>
      </c>
      <c r="E4" s="4" t="s">
        <v>30</v>
      </c>
      <c r="F4" s="4" t="s">
        <v>31</v>
      </c>
      <c r="G4" s="4" t="s">
        <v>25</v>
      </c>
      <c r="H4" s="9" t="s">
        <v>32</v>
      </c>
      <c r="I4" s="17"/>
      <c r="J4" s="17" t="str">
        <f t="shared" si="0"/>
        <v>790 Pine St Chicago, IL, 60601</v>
      </c>
      <c r="K4" s="17"/>
      <c r="L4" s="17" t="str" cm="1">
        <f t="array" ref="L4:M4">_xlfn.TEXTSPLIT(B4," ")</f>
        <v>Kevin</v>
      </c>
      <c r="M4" s="17" t="str">
        <v>Malone</v>
      </c>
      <c r="N4" s="17"/>
      <c r="O4" s="17" t="str">
        <f t="shared" si="1"/>
        <v>550</v>
      </c>
      <c r="P4" s="17"/>
      <c r="Q4" s="17">
        <f t="shared" si="2"/>
        <v>22</v>
      </c>
      <c r="R4" s="17">
        <f t="shared" si="3"/>
        <v>24</v>
      </c>
      <c r="S4" s="17" t="str">
        <f t="shared" si="4"/>
        <v>IL</v>
      </c>
    </row>
    <row r="5" spans="1:19">
      <c r="A5" s="3" t="s">
        <v>33</v>
      </c>
      <c r="B5" s="4" t="s">
        <v>14</v>
      </c>
      <c r="C5" s="4" t="s">
        <v>22</v>
      </c>
      <c r="D5" s="5">
        <v>45173.302083333336</v>
      </c>
      <c r="E5" s="4" t="s">
        <v>16</v>
      </c>
      <c r="F5" s="4" t="s">
        <v>17</v>
      </c>
      <c r="G5" s="4" t="s">
        <v>18</v>
      </c>
      <c r="H5" s="9" t="s">
        <v>19</v>
      </c>
      <c r="I5" s="17"/>
      <c r="J5" s="17" t="str">
        <f t="shared" si="0"/>
        <v>457 Oak St San Jose, CA, 95101</v>
      </c>
      <c r="K5" s="17"/>
      <c r="L5" s="17" t="str" cm="1">
        <f t="array" ref="L5:M5">_xlfn.TEXTSPLIT(B5," ")</f>
        <v>Pam</v>
      </c>
      <c r="M5" s="17" t="str">
        <v>Beesly</v>
      </c>
      <c r="N5" s="17"/>
      <c r="O5" s="17" t="str">
        <f t="shared" si="1"/>
        <v>551</v>
      </c>
      <c r="P5" s="17"/>
      <c r="Q5" s="17">
        <f t="shared" si="2"/>
        <v>22</v>
      </c>
      <c r="R5" s="17">
        <f t="shared" si="3"/>
        <v>24</v>
      </c>
      <c r="S5" s="17" t="str">
        <f t="shared" si="4"/>
        <v>CA</v>
      </c>
    </row>
    <row r="6" spans="1:19">
      <c r="A6" s="3" t="s">
        <v>34</v>
      </c>
      <c r="B6" s="4" t="s">
        <v>35</v>
      </c>
      <c r="C6" s="4" t="s">
        <v>36</v>
      </c>
      <c r="D6" s="5">
        <v>45248.708333333336</v>
      </c>
      <c r="E6" s="4" t="s">
        <v>37</v>
      </c>
      <c r="F6" s="4" t="s">
        <v>38</v>
      </c>
      <c r="G6" s="4" t="s">
        <v>39</v>
      </c>
      <c r="H6" s="9" t="s">
        <v>40</v>
      </c>
      <c r="I6" s="17"/>
      <c r="J6" s="17" t="str">
        <f t="shared" si="0"/>
        <v>459 Oak St Philadelphia, PA, 19101</v>
      </c>
      <c r="K6" s="17"/>
      <c r="L6" s="17" t="str" cm="1">
        <f t="array" ref="L6:M6">_xlfn.TEXTSPLIT(B6," ")</f>
        <v>Jim</v>
      </c>
      <c r="M6" s="17" t="str">
        <v>Halpert</v>
      </c>
      <c r="N6" s="17"/>
      <c r="O6" s="17" t="str">
        <f t="shared" si="1"/>
        <v>552</v>
      </c>
      <c r="P6" s="17"/>
      <c r="Q6" s="17">
        <f t="shared" si="2"/>
        <v>26</v>
      </c>
      <c r="R6" s="17">
        <f t="shared" si="3"/>
        <v>28</v>
      </c>
      <c r="S6" s="17" t="str">
        <f t="shared" si="4"/>
        <v>PA</v>
      </c>
    </row>
    <row r="7" spans="1:19">
      <c r="A7" s="3" t="s">
        <v>41</v>
      </c>
      <c r="B7" s="4" t="s">
        <v>42</v>
      </c>
      <c r="C7" s="4" t="s">
        <v>43</v>
      </c>
      <c r="D7" s="5">
        <v>45302.53125</v>
      </c>
      <c r="E7" s="4" t="s">
        <v>44</v>
      </c>
      <c r="F7" s="4" t="s">
        <v>45</v>
      </c>
      <c r="G7" s="4" t="s">
        <v>39</v>
      </c>
      <c r="H7" s="9" t="s">
        <v>46</v>
      </c>
      <c r="I7" s="17"/>
      <c r="J7" s="17" t="str">
        <f t="shared" si="0"/>
        <v>204 Birch St Philadelphia, PA, 19101</v>
      </c>
      <c r="K7" s="17"/>
      <c r="L7" s="17" t="str" cm="1">
        <f t="array" ref="L7:M7">_xlfn.TEXTSPLIT(B7," ")</f>
        <v>Ryan</v>
      </c>
      <c r="M7" s="17" t="str">
        <v>Howard</v>
      </c>
      <c r="N7" s="17"/>
      <c r="O7" s="17" t="str">
        <f t="shared" si="1"/>
        <v>553</v>
      </c>
      <c r="P7" s="17"/>
      <c r="Q7" s="17">
        <f t="shared" si="2"/>
        <v>28</v>
      </c>
      <c r="R7" s="17">
        <f t="shared" si="3"/>
        <v>30</v>
      </c>
      <c r="S7" s="17" t="str">
        <f t="shared" si="4"/>
        <v>PA</v>
      </c>
    </row>
    <row r="8" spans="1:19">
      <c r="A8" s="3" t="s">
        <v>47</v>
      </c>
      <c r="B8" s="4" t="s">
        <v>28</v>
      </c>
      <c r="C8" s="4" t="s">
        <v>22</v>
      </c>
      <c r="D8" s="5">
        <v>45354.6875</v>
      </c>
      <c r="E8" s="4" t="s">
        <v>30</v>
      </c>
      <c r="F8" s="4" t="s">
        <v>31</v>
      </c>
      <c r="G8" s="4" t="s">
        <v>25</v>
      </c>
      <c r="H8" s="9" t="s">
        <v>32</v>
      </c>
      <c r="I8" s="17"/>
      <c r="J8" s="17" t="str">
        <f t="shared" si="0"/>
        <v>790 Pine St Chicago, IL, 60601</v>
      </c>
      <c r="K8" s="17"/>
      <c r="L8" s="17" t="str" cm="1">
        <f t="array" ref="L8:M8">_xlfn.TEXTSPLIT(B8," ")</f>
        <v>Kevin</v>
      </c>
      <c r="M8" s="17" t="str">
        <v>Malone</v>
      </c>
      <c r="N8" s="17"/>
      <c r="O8" s="17" t="str">
        <f t="shared" si="1"/>
        <v>554</v>
      </c>
      <c r="P8" s="17"/>
      <c r="Q8" s="17">
        <f t="shared" si="2"/>
        <v>22</v>
      </c>
      <c r="R8" s="17">
        <f t="shared" si="3"/>
        <v>24</v>
      </c>
      <c r="S8" s="17" t="str">
        <f t="shared" si="4"/>
        <v>IL</v>
      </c>
    </row>
    <row r="9" spans="1:19">
      <c r="A9" s="3" t="s">
        <v>48</v>
      </c>
      <c r="B9" s="4" t="s">
        <v>42</v>
      </c>
      <c r="C9" s="4" t="s">
        <v>15</v>
      </c>
      <c r="D9" s="5">
        <v>45408.340277777781</v>
      </c>
      <c r="E9" s="4" t="s">
        <v>44</v>
      </c>
      <c r="F9" s="4" t="s">
        <v>45</v>
      </c>
      <c r="G9" s="4" t="s">
        <v>39</v>
      </c>
      <c r="H9" s="9" t="s">
        <v>46</v>
      </c>
      <c r="I9" s="17"/>
      <c r="J9" s="17" t="str">
        <f t="shared" si="0"/>
        <v>204 Birch St Philadelphia, PA, 19101</v>
      </c>
      <c r="K9" s="17"/>
      <c r="L9" s="17" t="str" cm="1">
        <f t="array" ref="L9:M9">_xlfn.TEXTSPLIT(B9," ")</f>
        <v>Ryan</v>
      </c>
      <c r="M9" s="17" t="str">
        <v>Howard</v>
      </c>
      <c r="N9" s="17"/>
      <c r="O9" s="17" t="str">
        <f t="shared" si="1"/>
        <v>555</v>
      </c>
      <c r="P9" s="17"/>
      <c r="Q9" s="17">
        <f t="shared" si="2"/>
        <v>28</v>
      </c>
      <c r="R9" s="17">
        <f t="shared" si="3"/>
        <v>30</v>
      </c>
      <c r="S9" s="17" t="str">
        <f t="shared" si="4"/>
        <v>PA</v>
      </c>
    </row>
    <row r="10" spans="1:19">
      <c r="A10" s="3" t="s">
        <v>49</v>
      </c>
      <c r="B10" s="4" t="s">
        <v>50</v>
      </c>
      <c r="C10" s="4" t="s">
        <v>36</v>
      </c>
      <c r="D10" s="5">
        <v>45458.743055555555</v>
      </c>
      <c r="E10" s="4" t="s">
        <v>51</v>
      </c>
      <c r="F10" s="4" t="s">
        <v>52</v>
      </c>
      <c r="G10" s="4" t="s">
        <v>25</v>
      </c>
      <c r="H10" s="9" t="s">
        <v>53</v>
      </c>
      <c r="I10" s="17"/>
      <c r="J10" s="17" t="str">
        <f t="shared" si="0"/>
        <v>123 Elm St Chicago, IL, 60601</v>
      </c>
      <c r="K10" s="17"/>
      <c r="L10" s="17" t="str" cm="1">
        <f t="array" ref="L10:M10">_xlfn.TEXTSPLIT(B10," ")</f>
        <v>Stanley</v>
      </c>
      <c r="M10" s="17" t="str">
        <v>Hudson</v>
      </c>
      <c r="N10" s="17"/>
      <c r="O10" s="17" t="str">
        <f t="shared" si="1"/>
        <v>556</v>
      </c>
      <c r="P10" s="17"/>
      <c r="Q10" s="17">
        <f t="shared" si="2"/>
        <v>21</v>
      </c>
      <c r="R10" s="17">
        <f t="shared" si="3"/>
        <v>23</v>
      </c>
      <c r="S10" s="17" t="str">
        <f t="shared" si="4"/>
        <v>IL</v>
      </c>
    </row>
    <row r="11" spans="1:19">
      <c r="A11" s="3" t="s">
        <v>54</v>
      </c>
      <c r="B11" s="4" t="s">
        <v>55</v>
      </c>
      <c r="C11" s="4" t="s">
        <v>29</v>
      </c>
      <c r="D11" s="5">
        <v>45480.607638888891</v>
      </c>
      <c r="E11" s="4" t="s">
        <v>56</v>
      </c>
      <c r="F11" s="4" t="s">
        <v>52</v>
      </c>
      <c r="G11" s="4" t="s">
        <v>57</v>
      </c>
      <c r="H11" s="9" t="s">
        <v>58</v>
      </c>
      <c r="I11" s="17"/>
      <c r="J11" s="17" t="str">
        <f t="shared" si="0"/>
        <v>123 Elm St Los Angeles, CA, 90001</v>
      </c>
      <c r="K11" s="17"/>
      <c r="L11" s="17" t="str" cm="1">
        <f t="array" ref="L11:M11">_xlfn.TEXTSPLIT(B11," ")</f>
        <v>Angela</v>
      </c>
      <c r="M11" s="17" t="str">
        <v>Martin</v>
      </c>
      <c r="N11" s="17"/>
      <c r="O11" s="17" t="str">
        <f t="shared" si="1"/>
        <v>557</v>
      </c>
      <c r="P11" s="17"/>
      <c r="Q11" s="17">
        <f t="shared" si="2"/>
        <v>25</v>
      </c>
      <c r="R11" s="17">
        <f t="shared" si="3"/>
        <v>27</v>
      </c>
      <c r="S11" s="17" t="str">
        <f t="shared" si="4"/>
        <v>CA</v>
      </c>
    </row>
    <row r="12" spans="1:19">
      <c r="A12" s="3" t="s">
        <v>59</v>
      </c>
      <c r="B12" s="4" t="s">
        <v>60</v>
      </c>
      <c r="C12" s="4" t="s">
        <v>36</v>
      </c>
      <c r="D12" s="5">
        <v>45455.284722222219</v>
      </c>
      <c r="E12" s="4" t="s">
        <v>61</v>
      </c>
      <c r="F12" s="4" t="s">
        <v>52</v>
      </c>
      <c r="G12" s="4" t="s">
        <v>62</v>
      </c>
      <c r="H12" s="9" t="s">
        <v>63</v>
      </c>
      <c r="I12" s="17"/>
      <c r="J12" s="17" t="str">
        <f t="shared" si="0"/>
        <v>123 Elm St San Diego, CA, 92101</v>
      </c>
      <c r="K12" s="17"/>
      <c r="L12" s="17" t="str" cm="1">
        <f t="array" ref="L12:M12">_xlfn.TEXTSPLIT(B12," ")</f>
        <v>Dwight</v>
      </c>
      <c r="M12" s="17" t="str">
        <v>Schrute</v>
      </c>
      <c r="N12" s="17"/>
      <c r="O12" s="17" t="str">
        <f t="shared" si="1"/>
        <v>558</v>
      </c>
      <c r="P12" s="17"/>
      <c r="Q12" s="17">
        <f t="shared" si="2"/>
        <v>23</v>
      </c>
      <c r="R12" s="17">
        <f t="shared" si="3"/>
        <v>25</v>
      </c>
      <c r="S12" s="17" t="str">
        <f t="shared" si="4"/>
        <v>CA</v>
      </c>
    </row>
    <row r="13" spans="1:19">
      <c r="A13" s="3" t="s">
        <v>64</v>
      </c>
      <c r="B13" s="4" t="s">
        <v>65</v>
      </c>
      <c r="C13" s="4" t="s">
        <v>43</v>
      </c>
      <c r="D13" s="5">
        <v>44951.552083333336</v>
      </c>
      <c r="E13" s="4" t="s">
        <v>66</v>
      </c>
      <c r="F13" s="4" t="s">
        <v>67</v>
      </c>
      <c r="G13" s="4" t="s">
        <v>25</v>
      </c>
      <c r="H13" s="9" t="s">
        <v>68</v>
      </c>
      <c r="I13" s="17"/>
      <c r="J13" s="17" t="str">
        <f t="shared" si="0"/>
        <v>202 Birch St Chicago, IL, 60601</v>
      </c>
      <c r="K13" s="17"/>
      <c r="L13" s="17" t="str" cm="1">
        <f t="array" ref="L13:M13">_xlfn.TEXTSPLIT(B13," ")</f>
        <v>Oscar</v>
      </c>
      <c r="M13" s="17" t="str">
        <v>Martinez</v>
      </c>
      <c r="N13" s="17"/>
      <c r="O13" s="17" t="str">
        <f t="shared" si="1"/>
        <v>559</v>
      </c>
      <c r="P13" s="17"/>
      <c r="Q13" s="17">
        <f t="shared" si="2"/>
        <v>23</v>
      </c>
      <c r="R13" s="17">
        <f t="shared" si="3"/>
        <v>25</v>
      </c>
      <c r="S13" s="17" t="str">
        <f t="shared" si="4"/>
        <v>IL</v>
      </c>
    </row>
    <row r="14" spans="1:19">
      <c r="A14" s="3" t="s">
        <v>69</v>
      </c>
      <c r="B14" s="4" t="s">
        <v>42</v>
      </c>
      <c r="C14" s="4" t="s">
        <v>29</v>
      </c>
      <c r="D14" s="5">
        <v>45002.489583333336</v>
      </c>
      <c r="E14" s="4" t="s">
        <v>44</v>
      </c>
      <c r="F14" s="4" t="s">
        <v>45</v>
      </c>
      <c r="G14" s="4" t="s">
        <v>39</v>
      </c>
      <c r="H14" s="9" t="s">
        <v>46</v>
      </c>
      <c r="I14" s="17"/>
      <c r="J14" s="17" t="str">
        <f t="shared" si="0"/>
        <v>204 Birch St Philadelphia, PA, 19101</v>
      </c>
      <c r="K14" s="17"/>
      <c r="L14" s="17" t="str" cm="1">
        <f t="array" ref="L14:M14">_xlfn.TEXTSPLIT(B14," ")</f>
        <v>Ryan</v>
      </c>
      <c r="M14" s="17" t="str">
        <v>Howard</v>
      </c>
      <c r="N14" s="17"/>
      <c r="O14" s="17" t="str">
        <f t="shared" si="1"/>
        <v>560</v>
      </c>
      <c r="P14" s="17"/>
      <c r="Q14" s="17">
        <f t="shared" si="2"/>
        <v>28</v>
      </c>
      <c r="R14" s="17">
        <f t="shared" si="3"/>
        <v>30</v>
      </c>
      <c r="S14" s="17" t="str">
        <f t="shared" si="4"/>
        <v>PA</v>
      </c>
    </row>
    <row r="15" spans="1:19">
      <c r="A15" s="3" t="s">
        <v>70</v>
      </c>
      <c r="B15" s="4" t="s">
        <v>71</v>
      </c>
      <c r="C15" s="4" t="s">
        <v>43</v>
      </c>
      <c r="D15" s="5">
        <v>45078.416666666664</v>
      </c>
      <c r="E15" s="4" t="s">
        <v>72</v>
      </c>
      <c r="F15" s="4" t="s">
        <v>52</v>
      </c>
      <c r="G15" s="4" t="s">
        <v>25</v>
      </c>
      <c r="H15" s="9" t="s">
        <v>73</v>
      </c>
      <c r="I15" s="17"/>
      <c r="J15" s="17" t="str">
        <f t="shared" si="0"/>
        <v>123 Elm St Chicago, IL, 60601</v>
      </c>
      <c r="K15" s="17"/>
      <c r="L15" s="17" t="str" cm="1">
        <f t="array" ref="L15:M15">_xlfn.TEXTSPLIT(B15," ")</f>
        <v>Phyllis</v>
      </c>
      <c r="M15" s="17" t="str">
        <v>Vance</v>
      </c>
      <c r="N15" s="17"/>
      <c r="O15" s="17" t="str">
        <f t="shared" si="1"/>
        <v>561</v>
      </c>
      <c r="P15" s="17"/>
      <c r="Q15" s="17">
        <f t="shared" si="2"/>
        <v>21</v>
      </c>
      <c r="R15" s="17">
        <f t="shared" si="3"/>
        <v>23</v>
      </c>
      <c r="S15" s="17" t="str">
        <f t="shared" si="4"/>
        <v>IL</v>
      </c>
    </row>
    <row r="16" spans="1:19">
      <c r="A16" s="3" t="s">
        <v>74</v>
      </c>
      <c r="B16" s="4" t="s">
        <v>75</v>
      </c>
      <c r="C16" s="4" t="s">
        <v>43</v>
      </c>
      <c r="D16" s="5">
        <v>45168.729166666664</v>
      </c>
      <c r="E16" s="4" t="s">
        <v>76</v>
      </c>
      <c r="F16" s="4" t="s">
        <v>77</v>
      </c>
      <c r="G16" s="4" t="s">
        <v>25</v>
      </c>
      <c r="H16" s="9" t="s">
        <v>78</v>
      </c>
      <c r="I16" s="17"/>
      <c r="J16" s="17" t="str">
        <f t="shared" si="0"/>
        <v>456 Oak St Chicago, IL, 60601</v>
      </c>
      <c r="K16" s="17"/>
      <c r="L16" s="17" t="str" cm="1">
        <f t="array" ref="L16:M16">_xlfn.TEXTSPLIT(B16," ")</f>
        <v>Meredith</v>
      </c>
      <c r="M16" s="17" t="str">
        <v>Palmer</v>
      </c>
      <c r="N16" s="17"/>
      <c r="O16" s="17" t="str">
        <f t="shared" si="1"/>
        <v>562</v>
      </c>
      <c r="P16" s="17"/>
      <c r="Q16" s="17">
        <f t="shared" si="2"/>
        <v>21</v>
      </c>
      <c r="R16" s="17">
        <f t="shared" si="3"/>
        <v>23</v>
      </c>
      <c r="S16" s="17" t="str">
        <f t="shared" si="4"/>
        <v>IL</v>
      </c>
    </row>
    <row r="17" spans="1:19">
      <c r="A17" s="3" t="s">
        <v>79</v>
      </c>
      <c r="B17" s="4" t="s">
        <v>21</v>
      </c>
      <c r="C17" s="4" t="s">
        <v>36</v>
      </c>
      <c r="D17" s="5">
        <v>45218.319444444445</v>
      </c>
      <c r="E17" s="4" t="s">
        <v>23</v>
      </c>
      <c r="F17" s="4" t="s">
        <v>24</v>
      </c>
      <c r="G17" s="4" t="s">
        <v>80</v>
      </c>
      <c r="H17" s="9" t="s">
        <v>26</v>
      </c>
      <c r="I17" s="17"/>
      <c r="J17" s="17" t="str">
        <f t="shared" si="0"/>
        <v>203 Birch St Chicago, IL, 60602</v>
      </c>
      <c r="K17" s="17"/>
      <c r="L17" s="17" t="str" cm="1">
        <f t="array" ref="L17:M17">_xlfn.TEXTSPLIT(B17," ")</f>
        <v>Michael</v>
      </c>
      <c r="M17" s="17" t="str">
        <v>Scott</v>
      </c>
      <c r="N17" s="17"/>
      <c r="O17" s="17" t="str">
        <f t="shared" si="1"/>
        <v>563</v>
      </c>
      <c r="P17" s="17"/>
      <c r="Q17" s="17">
        <f t="shared" si="2"/>
        <v>23</v>
      </c>
      <c r="R17" s="17">
        <f t="shared" si="3"/>
        <v>25</v>
      </c>
      <c r="S17" s="17" t="str">
        <f t="shared" si="4"/>
        <v>IL</v>
      </c>
    </row>
    <row r="18" spans="1:19">
      <c r="A18" s="3" t="s">
        <v>81</v>
      </c>
      <c r="B18" s="4" t="s">
        <v>35</v>
      </c>
      <c r="C18" s="4" t="s">
        <v>29</v>
      </c>
      <c r="D18" s="5">
        <v>45350.71875</v>
      </c>
      <c r="E18" s="4" t="s">
        <v>37</v>
      </c>
      <c r="F18" s="4" t="s">
        <v>38</v>
      </c>
      <c r="G18" s="4" t="s">
        <v>39</v>
      </c>
      <c r="H18" s="9" t="s">
        <v>40</v>
      </c>
      <c r="I18" s="17"/>
      <c r="J18" s="17" t="str">
        <f t="shared" si="0"/>
        <v>459 Oak St Philadelphia, PA, 19101</v>
      </c>
      <c r="K18" s="17"/>
      <c r="L18" s="17" t="str" cm="1">
        <f t="array" ref="L18:M18">_xlfn.TEXTSPLIT(B18," ")</f>
        <v>Jim</v>
      </c>
      <c r="M18" s="17" t="str">
        <v>Halpert</v>
      </c>
      <c r="N18" s="17"/>
      <c r="O18" s="17" t="str">
        <f t="shared" si="1"/>
        <v>564</v>
      </c>
      <c r="P18" s="17"/>
      <c r="Q18" s="17">
        <f t="shared" si="2"/>
        <v>26</v>
      </c>
      <c r="R18" s="17">
        <f t="shared" si="3"/>
        <v>28</v>
      </c>
      <c r="S18" s="17" t="str">
        <f t="shared" si="4"/>
        <v>PA</v>
      </c>
    </row>
    <row r="19" spans="1:19" ht="30.75">
      <c r="A19" s="3" t="s">
        <v>82</v>
      </c>
      <c r="B19" s="4" t="s">
        <v>83</v>
      </c>
      <c r="C19" s="4" t="s">
        <v>36</v>
      </c>
      <c r="D19" s="5">
        <v>45418.725694444445</v>
      </c>
      <c r="E19" s="4" t="s">
        <v>84</v>
      </c>
      <c r="F19" s="4" t="s">
        <v>77</v>
      </c>
      <c r="G19" s="4" t="s">
        <v>85</v>
      </c>
      <c r="H19" s="9" t="s">
        <v>86</v>
      </c>
      <c r="I19" s="17"/>
      <c r="J19" s="17" t="str">
        <f t="shared" si="0"/>
        <v>456 Oak St New York, NY, 10001</v>
      </c>
      <c r="K19" s="17"/>
      <c r="L19" s="17" t="str" cm="1">
        <f t="array" ref="L19:M19">_xlfn.TEXTSPLIT(B19," ")</f>
        <v>Kelly</v>
      </c>
      <c r="M19" s="17" t="str">
        <v>Kapoor</v>
      </c>
      <c r="N19" s="17"/>
      <c r="O19" s="17" t="str">
        <f t="shared" si="1"/>
        <v>565</v>
      </c>
      <c r="P19" s="17"/>
      <c r="Q19" s="17">
        <f t="shared" si="2"/>
        <v>22</v>
      </c>
      <c r="R19" s="17">
        <f t="shared" si="3"/>
        <v>24</v>
      </c>
      <c r="S19" s="17" t="str">
        <f t="shared" si="4"/>
        <v>NY</v>
      </c>
    </row>
    <row r="20" spans="1:19">
      <c r="A20" s="3" t="s">
        <v>87</v>
      </c>
      <c r="B20" s="4" t="s">
        <v>35</v>
      </c>
      <c r="C20" s="4" t="s">
        <v>43</v>
      </c>
      <c r="D20" s="5">
        <v>45496.291666666664</v>
      </c>
      <c r="E20" s="4" t="s">
        <v>37</v>
      </c>
      <c r="F20" s="4" t="s">
        <v>38</v>
      </c>
      <c r="G20" s="4" t="s">
        <v>39</v>
      </c>
      <c r="H20" s="9" t="s">
        <v>40</v>
      </c>
      <c r="I20" s="17"/>
      <c r="J20" s="17" t="str">
        <f t="shared" si="0"/>
        <v>459 Oak St Philadelphia, PA, 19101</v>
      </c>
      <c r="K20" s="17"/>
      <c r="L20" s="17" t="str" cm="1">
        <f t="array" ref="L20:M20">_xlfn.TEXTSPLIT(B20," ")</f>
        <v>Jim</v>
      </c>
      <c r="M20" s="17" t="str">
        <v>Halpert</v>
      </c>
      <c r="N20" s="17"/>
      <c r="O20" s="17" t="str">
        <f t="shared" si="1"/>
        <v>566</v>
      </c>
      <c r="P20" s="17"/>
      <c r="Q20" s="17">
        <f t="shared" si="2"/>
        <v>26</v>
      </c>
      <c r="R20" s="17">
        <f t="shared" si="3"/>
        <v>28</v>
      </c>
      <c r="S20" s="17" t="str">
        <f t="shared" si="4"/>
        <v>PA</v>
      </c>
    </row>
    <row r="21" spans="1:19">
      <c r="A21" s="3" t="s">
        <v>88</v>
      </c>
      <c r="B21" s="6" t="s">
        <v>35</v>
      </c>
      <c r="C21" s="6" t="s">
        <v>43</v>
      </c>
      <c r="D21" s="7">
        <v>45422.739583333336</v>
      </c>
      <c r="E21" s="6" t="s">
        <v>37</v>
      </c>
      <c r="F21" s="6" t="s">
        <v>38</v>
      </c>
      <c r="G21" s="6" t="s">
        <v>85</v>
      </c>
      <c r="H21" s="10" t="s">
        <v>40</v>
      </c>
      <c r="I21" s="17"/>
      <c r="J21" s="17" t="str">
        <f t="shared" si="0"/>
        <v>459 Oak St New York, NY, 10001</v>
      </c>
      <c r="K21" s="17"/>
      <c r="L21" s="17" t="str" cm="1">
        <f t="array" ref="L21:M21">_xlfn.TEXTSPLIT(B21," ")</f>
        <v>Jim</v>
      </c>
      <c r="M21" s="17" t="str">
        <v>Halpert</v>
      </c>
      <c r="N21" s="17"/>
      <c r="O21" s="17" t="str">
        <f t="shared" si="1"/>
        <v>567</v>
      </c>
      <c r="P21" s="17"/>
      <c r="Q21" s="17">
        <f t="shared" si="2"/>
        <v>22</v>
      </c>
      <c r="R21" s="17">
        <f t="shared" si="3"/>
        <v>24</v>
      </c>
      <c r="S21" s="17" t="str">
        <f t="shared" si="4"/>
        <v>NY</v>
      </c>
    </row>
  </sheetData>
  <mergeCells count="1">
    <mergeCell ref="Q1: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B46C8-04A9-4988-9CCE-B58D97C4D9B9}">
  <dimension ref="A1:BW32"/>
  <sheetViews>
    <sheetView tabSelected="1" workbookViewId="0">
      <selection activeCell="B31" sqref="A9:B31"/>
    </sheetView>
  </sheetViews>
  <sheetFormatPr defaultRowHeight="15"/>
  <cols>
    <col min="1" max="1" width="36.5703125" bestFit="1" customWidth="1"/>
    <col min="2" max="2" width="19.140625" bestFit="1" customWidth="1"/>
    <col min="14" max="14" width="10" bestFit="1" customWidth="1"/>
    <col min="16" max="16" width="10" bestFit="1" customWidth="1"/>
    <col min="20" max="20" width="10" bestFit="1" customWidth="1"/>
    <col min="23" max="23" width="9.85546875" bestFit="1" customWidth="1"/>
    <col min="25" max="25" width="10" bestFit="1" customWidth="1"/>
    <col min="29" max="29" width="10" bestFit="1" customWidth="1"/>
    <col min="30" max="30" width="9.85546875" bestFit="1" customWidth="1"/>
    <col min="32" max="32" width="10" bestFit="1" customWidth="1"/>
    <col min="37" max="37" width="9.85546875" bestFit="1" customWidth="1"/>
    <col min="48" max="48" width="9.85546875" bestFit="1" customWidth="1"/>
    <col min="50" max="50" width="10" bestFit="1" customWidth="1"/>
    <col min="54" max="54" width="10" bestFit="1" customWidth="1"/>
    <col min="62" max="62" width="10" bestFit="1" customWidth="1"/>
    <col min="65" max="65" width="9.85546875" bestFit="1" customWidth="1"/>
    <col min="70" max="70" width="10" bestFit="1" customWidth="1"/>
    <col min="73" max="73" width="10" bestFit="1" customWidth="1"/>
  </cols>
  <sheetData>
    <row r="1" spans="1:75">
      <c r="A1" s="18"/>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row>
    <row r="2" spans="1:75">
      <c r="A2" s="19" t="s">
        <v>89</v>
      </c>
      <c r="B2" s="13"/>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row>
    <row r="3" spans="1:75">
      <c r="A3" s="18" t="str">
        <f>_xlfn.TEXTJOIN(",",TRUE,Data!H2:H21)</f>
        <v>Kafka, DataBricks, Spark, Python, GCP,Power BI, GCP, Airflow, Hadoop, R,Azure, Java, SQL, DataBricks,Kafka, DataBricks, Spark, Python, GCP,DataBricks, Hadoop, Java,Snowflake, Airflow, DataBricks,Azure, Java, SQL, DataBricks,Snowflake, Airflow, DataBricks,Scala, Azure, R, Kafka,Snowflake, Excel, Scala,Excel, Power BI, R,Scala, R, Hadoop, Power BI, SQL,Snowflake, Airflow, DataBricks,Java, Scala, R,DataBricks, Azure, Scala,Power BI, GCP, Airflow, Hadoop, R,DataBricks, Hadoop, Java,Snowflake, Power BI, Tableau, Airflow, SQL,DataBricks, Hadoop, Java,DataBricks, Hadoop, Java</v>
      </c>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7"/>
      <c r="BD3" s="17"/>
      <c r="BE3" s="17"/>
      <c r="BF3" s="17"/>
      <c r="BG3" s="17"/>
      <c r="BH3" s="17"/>
      <c r="BI3" s="17"/>
      <c r="BJ3" s="17"/>
      <c r="BK3" s="17"/>
      <c r="BL3" s="17"/>
      <c r="BM3" s="17"/>
      <c r="BN3" s="17"/>
      <c r="BO3" s="17"/>
      <c r="BP3" s="17"/>
      <c r="BQ3" s="17"/>
      <c r="BR3" s="17"/>
      <c r="BS3" s="17"/>
      <c r="BT3" s="17"/>
      <c r="BU3" s="17"/>
      <c r="BV3" s="17"/>
      <c r="BW3" s="17"/>
    </row>
    <row r="4" spans="1:75">
      <c r="A4" s="18"/>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row>
    <row r="5" spans="1:75">
      <c r="A5" s="19" t="s">
        <v>90</v>
      </c>
      <c r="B5" s="15" t="s">
        <v>91</v>
      </c>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row>
    <row r="6" spans="1:75">
      <c r="A6" s="18" t="str" cm="1">
        <f t="array" ref="A6:BW6">_xlfn.TEXTSPLIT(A3,",")</f>
        <v>Kafka</v>
      </c>
      <c r="B6" s="17" t="str">
        <v xml:space="preserve"> DataBricks</v>
      </c>
      <c r="C6" s="17" t="str">
        <v xml:space="preserve"> Spark</v>
      </c>
      <c r="D6" s="17" t="str">
        <v xml:space="preserve"> Python</v>
      </c>
      <c r="E6" s="17" t="str">
        <v xml:space="preserve"> GCP</v>
      </c>
      <c r="F6" s="17" t="str">
        <v>Power BI</v>
      </c>
      <c r="G6" s="17" t="str">
        <v xml:space="preserve"> GCP</v>
      </c>
      <c r="H6" s="17" t="str">
        <v xml:space="preserve"> Airflow</v>
      </c>
      <c r="I6" s="17" t="str">
        <v xml:space="preserve"> Hadoop</v>
      </c>
      <c r="J6" s="17" t="str">
        <v xml:space="preserve"> R</v>
      </c>
      <c r="K6" s="17" t="str">
        <v>Azure</v>
      </c>
      <c r="L6" s="17" t="str">
        <v xml:space="preserve"> Java</v>
      </c>
      <c r="M6" s="17" t="str">
        <v xml:space="preserve"> SQL</v>
      </c>
      <c r="N6" s="17" t="str">
        <v xml:space="preserve"> DataBricks</v>
      </c>
      <c r="O6" s="17" t="str">
        <v>Kafka</v>
      </c>
      <c r="P6" s="17" t="str">
        <v xml:space="preserve"> DataBricks</v>
      </c>
      <c r="Q6" s="17" t="str">
        <v xml:space="preserve"> Spark</v>
      </c>
      <c r="R6" s="17" t="str">
        <v xml:space="preserve"> Python</v>
      </c>
      <c r="S6" s="17" t="str">
        <v xml:space="preserve"> GCP</v>
      </c>
      <c r="T6" s="17" t="str">
        <v>DataBricks</v>
      </c>
      <c r="U6" s="17" t="str">
        <v xml:space="preserve"> Hadoop</v>
      </c>
      <c r="V6" s="17" t="str">
        <v xml:space="preserve"> Java</v>
      </c>
      <c r="W6" s="17" t="str">
        <v>Snowflake</v>
      </c>
      <c r="X6" s="17" t="str">
        <v xml:space="preserve"> Airflow</v>
      </c>
      <c r="Y6" s="17" t="str">
        <v xml:space="preserve"> DataBricks</v>
      </c>
      <c r="Z6" s="17" t="str">
        <v>Azure</v>
      </c>
      <c r="AA6" s="17" t="str">
        <v xml:space="preserve"> Java</v>
      </c>
      <c r="AB6" s="17" t="str">
        <v xml:space="preserve"> SQL</v>
      </c>
      <c r="AC6" s="17" t="str">
        <v xml:space="preserve"> DataBricks</v>
      </c>
      <c r="AD6" s="17" t="str">
        <v>Snowflake</v>
      </c>
      <c r="AE6" s="17" t="str">
        <v xml:space="preserve"> Airflow</v>
      </c>
      <c r="AF6" s="17" t="str">
        <v xml:space="preserve"> DataBricks</v>
      </c>
      <c r="AG6" s="17" t="str">
        <v>Scala</v>
      </c>
      <c r="AH6" s="17" t="str">
        <v xml:space="preserve"> Azure</v>
      </c>
      <c r="AI6" s="17" t="str">
        <v xml:space="preserve"> R</v>
      </c>
      <c r="AJ6" s="17" t="str">
        <v xml:space="preserve"> Kafka</v>
      </c>
      <c r="AK6" s="17" t="str">
        <v>Snowflake</v>
      </c>
      <c r="AL6" s="17" t="str">
        <v xml:space="preserve"> Excel</v>
      </c>
      <c r="AM6" s="17" t="str">
        <v xml:space="preserve"> Scala</v>
      </c>
      <c r="AN6" s="17" t="str">
        <v>Excel</v>
      </c>
      <c r="AO6" s="17" t="str">
        <v xml:space="preserve"> Power BI</v>
      </c>
      <c r="AP6" s="17" t="str">
        <v xml:space="preserve"> R</v>
      </c>
      <c r="AQ6" s="17" t="str">
        <v>Scala</v>
      </c>
      <c r="AR6" s="17" t="str">
        <v xml:space="preserve"> R</v>
      </c>
      <c r="AS6" s="17" t="str">
        <v xml:space="preserve"> Hadoop</v>
      </c>
      <c r="AT6" s="17" t="str">
        <v xml:space="preserve"> Power BI</v>
      </c>
      <c r="AU6" s="17" t="str">
        <v xml:space="preserve"> SQL</v>
      </c>
      <c r="AV6" s="17" t="str">
        <v>Snowflake</v>
      </c>
      <c r="AW6" s="17" t="str">
        <v xml:space="preserve"> Airflow</v>
      </c>
      <c r="AX6" s="17" t="str">
        <v xml:space="preserve"> DataBricks</v>
      </c>
      <c r="AY6" s="17" t="str">
        <v>Java</v>
      </c>
      <c r="AZ6" s="17" t="str">
        <v xml:space="preserve"> Scala</v>
      </c>
      <c r="BA6" s="17" t="str">
        <v xml:space="preserve"> R</v>
      </c>
      <c r="BB6" s="17" t="str">
        <v>DataBricks</v>
      </c>
      <c r="BC6" s="17" t="str">
        <v xml:space="preserve"> Azure</v>
      </c>
      <c r="BD6" s="17" t="str">
        <v xml:space="preserve"> Scala</v>
      </c>
      <c r="BE6" s="17" t="str">
        <v>Power BI</v>
      </c>
      <c r="BF6" s="17" t="str">
        <v xml:space="preserve"> GCP</v>
      </c>
      <c r="BG6" s="17" t="str">
        <v xml:space="preserve"> Airflow</v>
      </c>
      <c r="BH6" s="17" t="str">
        <v xml:space="preserve"> Hadoop</v>
      </c>
      <c r="BI6" s="17" t="str">
        <v xml:space="preserve"> R</v>
      </c>
      <c r="BJ6" s="17" t="str">
        <v>DataBricks</v>
      </c>
      <c r="BK6" s="17" t="str">
        <v xml:space="preserve"> Hadoop</v>
      </c>
      <c r="BL6" s="17" t="str">
        <v xml:space="preserve"> Java</v>
      </c>
      <c r="BM6" s="17" t="str">
        <v>Snowflake</v>
      </c>
      <c r="BN6" s="17" t="str">
        <v xml:space="preserve"> Power BI</v>
      </c>
      <c r="BO6" s="17" t="str">
        <v xml:space="preserve"> Tableau</v>
      </c>
      <c r="BP6" s="17" t="str">
        <v xml:space="preserve"> Airflow</v>
      </c>
      <c r="BQ6" s="17" t="str">
        <v xml:space="preserve"> SQL</v>
      </c>
      <c r="BR6" s="17" t="str">
        <v>DataBricks</v>
      </c>
      <c r="BS6" s="17" t="str">
        <v xml:space="preserve"> Hadoop</v>
      </c>
      <c r="BT6" s="17" t="str">
        <v xml:space="preserve"> Java</v>
      </c>
      <c r="BU6" s="17" t="str">
        <v>DataBricks</v>
      </c>
      <c r="BV6" s="17" t="str">
        <v xml:space="preserve"> Hadoop</v>
      </c>
      <c r="BW6" s="17" t="str">
        <v xml:space="preserve"> Java</v>
      </c>
    </row>
    <row r="7" spans="1:75">
      <c r="A7" s="18"/>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row>
    <row r="8" spans="1:75">
      <c r="A8" s="19" t="s">
        <v>92</v>
      </c>
      <c r="B8" s="12" t="s">
        <v>93</v>
      </c>
      <c r="C8" s="13"/>
      <c r="D8" s="13"/>
      <c r="E8" s="15" t="s">
        <v>91</v>
      </c>
      <c r="F8" s="15" t="s">
        <v>91</v>
      </c>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row>
    <row r="9" spans="1:75">
      <c r="A9" s="20" t="str" cm="1">
        <f t="array" ref="A9:A32">_xlfn.UNIQUE(TRANSPOSE(6:6))</f>
        <v>Kafka</v>
      </c>
      <c r="B9" s="16">
        <f>COUNTIF($6:$6,A9)</f>
        <v>2</v>
      </c>
      <c r="C9" s="22"/>
      <c r="D9" s="22"/>
      <c r="E9" s="22"/>
      <c r="F9" s="22"/>
      <c r="G9" s="22"/>
      <c r="H9" s="22"/>
      <c r="I9" s="22"/>
      <c r="J9" s="22"/>
      <c r="K9" s="22"/>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row>
    <row r="10" spans="1:75">
      <c r="A10" s="21" t="str">
        <v xml:space="preserve"> DataBricks</v>
      </c>
      <c r="B10" s="16">
        <f t="shared" ref="B10:B32" si="0">COUNTIF($6:$6,A10)</f>
        <v>7</v>
      </c>
      <c r="C10" s="22"/>
      <c r="D10" s="22"/>
      <c r="E10" s="22"/>
      <c r="F10" s="22"/>
      <c r="G10" s="22"/>
      <c r="H10" s="22"/>
      <c r="I10" s="22"/>
      <c r="J10" s="22"/>
      <c r="K10" s="22"/>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row>
    <row r="11" spans="1:75">
      <c r="A11" s="21" t="str">
        <v xml:space="preserve"> Spark</v>
      </c>
      <c r="B11" s="16">
        <f t="shared" si="0"/>
        <v>2</v>
      </c>
      <c r="C11" s="22"/>
      <c r="D11" s="22"/>
      <c r="E11" s="22"/>
      <c r="F11" s="22"/>
      <c r="G11" s="22"/>
      <c r="H11" s="22"/>
      <c r="I11" s="22"/>
      <c r="J11" s="22"/>
      <c r="K11" s="22"/>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row>
    <row r="12" spans="1:75">
      <c r="A12" s="21" t="str">
        <v xml:space="preserve"> Python</v>
      </c>
      <c r="B12" s="16">
        <f t="shared" si="0"/>
        <v>2</v>
      </c>
      <c r="C12" s="22"/>
      <c r="D12" s="22"/>
      <c r="E12" s="22"/>
      <c r="F12" s="22"/>
      <c r="G12" s="22"/>
      <c r="H12" s="22"/>
      <c r="I12" s="22"/>
      <c r="J12" s="22"/>
      <c r="K12" s="22"/>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row>
    <row r="13" spans="1:75">
      <c r="A13" s="21" t="str">
        <v xml:space="preserve"> GCP</v>
      </c>
      <c r="B13" s="16">
        <f t="shared" si="0"/>
        <v>4</v>
      </c>
      <c r="C13" s="22"/>
      <c r="D13" s="22"/>
      <c r="E13" s="22"/>
      <c r="F13" s="22"/>
      <c r="G13" s="22"/>
      <c r="H13" s="22"/>
      <c r="I13" s="22"/>
      <c r="J13" s="22"/>
      <c r="K13" s="22"/>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row>
    <row r="14" spans="1:75">
      <c r="A14" s="21" t="str">
        <v>Power BI</v>
      </c>
      <c r="B14" s="16">
        <f t="shared" si="0"/>
        <v>2</v>
      </c>
      <c r="C14" s="22"/>
      <c r="D14" s="22"/>
      <c r="E14" s="22"/>
      <c r="F14" s="22"/>
      <c r="G14" s="22"/>
      <c r="H14" s="22"/>
      <c r="I14" s="22"/>
      <c r="J14" s="22"/>
      <c r="K14" s="22"/>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row>
    <row r="15" spans="1:75">
      <c r="A15" s="21" t="str">
        <v xml:space="preserve"> Airflow</v>
      </c>
      <c r="B15" s="16">
        <f t="shared" si="0"/>
        <v>6</v>
      </c>
      <c r="C15" s="22"/>
      <c r="D15" s="22"/>
      <c r="E15" s="22"/>
      <c r="F15" s="22"/>
      <c r="G15" s="22"/>
      <c r="H15" s="22"/>
      <c r="I15" s="22"/>
      <c r="J15" s="22"/>
      <c r="K15" s="22"/>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row>
    <row r="16" spans="1:75">
      <c r="A16" s="21" t="str">
        <v xml:space="preserve"> Hadoop</v>
      </c>
      <c r="B16" s="16">
        <f t="shared" si="0"/>
        <v>7</v>
      </c>
      <c r="C16" s="22"/>
      <c r="D16" s="22"/>
      <c r="E16" s="22"/>
      <c r="F16" s="22"/>
      <c r="G16" s="22"/>
      <c r="H16" s="22"/>
      <c r="I16" s="22"/>
      <c r="J16" s="22"/>
      <c r="K16" s="22"/>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row>
    <row r="17" spans="1:75">
      <c r="A17" s="21" t="str">
        <v xml:space="preserve"> R</v>
      </c>
      <c r="B17" s="16">
        <f t="shared" si="0"/>
        <v>6</v>
      </c>
      <c r="C17" s="22"/>
      <c r="D17" s="22"/>
      <c r="E17" s="22"/>
      <c r="F17" s="22"/>
      <c r="G17" s="22"/>
      <c r="H17" s="22"/>
      <c r="I17" s="22"/>
      <c r="J17" s="22"/>
      <c r="K17" s="22"/>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row>
    <row r="18" spans="1:75">
      <c r="A18" s="21" t="str">
        <v>Azure</v>
      </c>
      <c r="B18" s="16">
        <f t="shared" si="0"/>
        <v>2</v>
      </c>
      <c r="C18" s="22"/>
      <c r="D18" s="22"/>
      <c r="E18" s="22"/>
      <c r="F18" s="22"/>
      <c r="G18" s="22"/>
      <c r="H18" s="22"/>
      <c r="I18" s="22"/>
      <c r="J18" s="22"/>
      <c r="K18" s="22"/>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row>
    <row r="19" spans="1:75">
      <c r="A19" s="21" t="str">
        <v xml:space="preserve"> Java</v>
      </c>
      <c r="B19" s="16">
        <f t="shared" si="0"/>
        <v>6</v>
      </c>
      <c r="C19" s="22"/>
      <c r="D19" s="22"/>
      <c r="E19" s="22"/>
      <c r="F19" s="22"/>
      <c r="G19" s="22"/>
      <c r="H19" s="22"/>
      <c r="I19" s="22"/>
      <c r="J19" s="22"/>
      <c r="K19" s="22"/>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row>
    <row r="20" spans="1:75">
      <c r="A20" s="21" t="str">
        <v xml:space="preserve"> SQL</v>
      </c>
      <c r="B20" s="16">
        <f t="shared" si="0"/>
        <v>4</v>
      </c>
      <c r="C20" s="22"/>
      <c r="D20" s="22"/>
      <c r="E20" s="22"/>
      <c r="F20" s="22"/>
      <c r="G20" s="22"/>
      <c r="H20" s="22"/>
      <c r="I20" s="22"/>
      <c r="J20" s="22"/>
      <c r="K20" s="22"/>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row>
    <row r="21" spans="1:75">
      <c r="A21" s="21" t="str">
        <v>DataBricks</v>
      </c>
      <c r="B21" s="16">
        <f t="shared" si="0"/>
        <v>5</v>
      </c>
      <c r="C21" s="22"/>
      <c r="D21" s="22"/>
      <c r="E21" s="22"/>
      <c r="F21" s="22"/>
      <c r="G21" s="22"/>
      <c r="H21" s="22"/>
      <c r="I21" s="22"/>
      <c r="J21" s="22"/>
      <c r="K21" s="22"/>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row>
    <row r="22" spans="1:75">
      <c r="A22" s="21" t="str">
        <v>Snowflake</v>
      </c>
      <c r="B22" s="16">
        <f t="shared" si="0"/>
        <v>5</v>
      </c>
      <c r="C22" s="22"/>
      <c r="D22" s="22"/>
      <c r="E22" s="22"/>
      <c r="F22" s="22"/>
      <c r="G22" s="22"/>
      <c r="H22" s="22"/>
      <c r="I22" s="22"/>
      <c r="J22" s="22"/>
      <c r="K22" s="22"/>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row>
    <row r="23" spans="1:75">
      <c r="A23" s="21" t="str">
        <v>Scala</v>
      </c>
      <c r="B23" s="16">
        <f t="shared" si="0"/>
        <v>2</v>
      </c>
      <c r="C23" s="22"/>
      <c r="D23" s="22"/>
      <c r="E23" s="22"/>
      <c r="F23" s="22"/>
      <c r="G23" s="22"/>
      <c r="H23" s="22"/>
      <c r="I23" s="22"/>
      <c r="J23" s="22"/>
      <c r="K23" s="22"/>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row>
    <row r="24" spans="1:75">
      <c r="A24" s="21" t="str">
        <v xml:space="preserve"> Azure</v>
      </c>
      <c r="B24" s="16">
        <f t="shared" si="0"/>
        <v>2</v>
      </c>
      <c r="C24" s="22"/>
      <c r="D24" s="22"/>
      <c r="E24" s="22"/>
      <c r="F24" s="22"/>
      <c r="G24" s="22"/>
      <c r="H24" s="22"/>
      <c r="I24" s="22"/>
      <c r="J24" s="22"/>
      <c r="K24" s="22"/>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c r="BO24" s="17"/>
      <c r="BP24" s="17"/>
      <c r="BQ24" s="17"/>
      <c r="BR24" s="17"/>
      <c r="BS24" s="17"/>
      <c r="BT24" s="17"/>
      <c r="BU24" s="17"/>
      <c r="BV24" s="17"/>
      <c r="BW24" s="17"/>
    </row>
    <row r="25" spans="1:75">
      <c r="A25" s="21" t="str">
        <v xml:space="preserve"> Kafka</v>
      </c>
      <c r="B25" s="16">
        <f t="shared" si="0"/>
        <v>1</v>
      </c>
      <c r="C25" s="22"/>
      <c r="D25" s="22"/>
      <c r="E25" s="22"/>
      <c r="F25" s="22"/>
      <c r="G25" s="22"/>
      <c r="H25" s="22"/>
      <c r="I25" s="22"/>
      <c r="J25" s="22"/>
      <c r="K25" s="22"/>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c r="BO25" s="17"/>
      <c r="BP25" s="17"/>
      <c r="BQ25" s="17"/>
      <c r="BR25" s="17"/>
      <c r="BS25" s="17"/>
      <c r="BT25" s="17"/>
      <c r="BU25" s="17"/>
      <c r="BV25" s="17"/>
      <c r="BW25" s="17"/>
    </row>
    <row r="26" spans="1:75">
      <c r="A26" s="18" t="str">
        <v xml:space="preserve"> Excel</v>
      </c>
      <c r="B26" s="16">
        <f t="shared" si="0"/>
        <v>1</v>
      </c>
      <c r="C26" s="22"/>
      <c r="D26" s="22"/>
      <c r="E26" s="22"/>
      <c r="F26" s="22"/>
      <c r="G26" s="22"/>
      <c r="H26" s="22"/>
      <c r="I26" s="22"/>
      <c r="J26" s="22"/>
      <c r="K26" s="22"/>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row>
    <row r="27" spans="1:75">
      <c r="A27" s="18" t="str">
        <v xml:space="preserve"> Scala</v>
      </c>
      <c r="B27" s="16">
        <f t="shared" si="0"/>
        <v>3</v>
      </c>
      <c r="C27" s="22"/>
      <c r="D27" s="22"/>
      <c r="E27" s="22"/>
      <c r="F27" s="22"/>
      <c r="G27" s="22"/>
      <c r="H27" s="22"/>
      <c r="I27" s="22"/>
      <c r="J27" s="22"/>
      <c r="K27" s="22"/>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row>
    <row r="28" spans="1:75">
      <c r="A28" t="str">
        <v>Excel</v>
      </c>
      <c r="B28" s="16">
        <f t="shared" si="0"/>
        <v>1</v>
      </c>
    </row>
    <row r="29" spans="1:75">
      <c r="A29" t="str">
        <v xml:space="preserve"> Power BI</v>
      </c>
      <c r="B29" s="16">
        <f t="shared" si="0"/>
        <v>3</v>
      </c>
    </row>
    <row r="30" spans="1:75">
      <c r="A30" t="str">
        <v>Java</v>
      </c>
      <c r="B30" s="16">
        <f t="shared" si="0"/>
        <v>1</v>
      </c>
    </row>
    <row r="31" spans="1:75">
      <c r="A31" t="str">
        <v xml:space="preserve"> Tableau</v>
      </c>
      <c r="B31" s="16">
        <f t="shared" si="0"/>
        <v>1</v>
      </c>
    </row>
    <row r="32" spans="1:75">
      <c r="A32">
        <v>0</v>
      </c>
      <c r="B32" s="16">
        <f t="shared" si="0"/>
        <v>0</v>
      </c>
    </row>
  </sheetData>
  <mergeCells count="1">
    <mergeCell ref="C9:K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Fadi Joma</cp:lastModifiedBy>
  <cp:revision/>
  <dcterms:created xsi:type="dcterms:W3CDTF">2026-06-16T08:52:16Z</dcterms:created>
  <dcterms:modified xsi:type="dcterms:W3CDTF">2026-06-17T14:24:06Z</dcterms:modified>
  <cp:category/>
  <cp:contentStatus/>
</cp:coreProperties>
</file>