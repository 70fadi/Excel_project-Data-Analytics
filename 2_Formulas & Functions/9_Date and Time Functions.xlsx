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/>
  <xr:revisionPtr revIDLastSave="58" documentId="11_0B1D56BE9CDCCE836B02CE7A5FB0D4A9BBFD1C62" xr6:coauthVersionLast="47" xr6:coauthVersionMax="47" xr10:uidLastSave="{B9C8C192-F871-4317-ADEE-5A481B2C476D}"/>
  <bookViews>
    <workbookView xWindow="240" yWindow="105" windowWidth="14805" windowHeight="801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" l="1"/>
  <c r="Y2" i="1" a="1"/>
  <c r="Y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X2" i="1" a="1"/>
  <c r="X2" i="1"/>
  <c r="V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R3" i="1"/>
  <c r="S3" i="1"/>
  <c r="T3" i="1"/>
  <c r="R4" i="1"/>
  <c r="S4" i="1"/>
  <c r="T4" i="1"/>
  <c r="R5" i="1"/>
  <c r="S5" i="1"/>
  <c r="T5" i="1"/>
  <c r="R6" i="1"/>
  <c r="S6" i="1"/>
  <c r="T6" i="1"/>
  <c r="R7" i="1"/>
  <c r="S7" i="1"/>
  <c r="T7" i="1"/>
  <c r="R8" i="1"/>
  <c r="S8" i="1"/>
  <c r="T8" i="1"/>
  <c r="R9" i="1"/>
  <c r="S9" i="1"/>
  <c r="T9" i="1"/>
  <c r="R10" i="1"/>
  <c r="S10" i="1"/>
  <c r="T10" i="1"/>
  <c r="R11" i="1"/>
  <c r="S11" i="1"/>
  <c r="T11" i="1"/>
  <c r="R12" i="1"/>
  <c r="S12" i="1"/>
  <c r="T12" i="1"/>
  <c r="R13" i="1"/>
  <c r="S13" i="1"/>
  <c r="T13" i="1"/>
  <c r="R14" i="1"/>
  <c r="S14" i="1"/>
  <c r="T14" i="1"/>
  <c r="R15" i="1"/>
  <c r="S15" i="1"/>
  <c r="T15" i="1"/>
  <c r="R16" i="1"/>
  <c r="S16" i="1"/>
  <c r="T16" i="1"/>
  <c r="R17" i="1"/>
  <c r="S17" i="1"/>
  <c r="T17" i="1"/>
  <c r="R18" i="1"/>
  <c r="S18" i="1"/>
  <c r="T18" i="1"/>
  <c r="R19" i="1"/>
  <c r="S19" i="1"/>
  <c r="T19" i="1"/>
  <c r="R20" i="1"/>
  <c r="S20" i="1"/>
  <c r="T20" i="1"/>
  <c r="R21" i="1"/>
  <c r="S21" i="1"/>
  <c r="T21" i="1"/>
  <c r="R2" i="1"/>
  <c r="T2" i="1"/>
  <c r="S2" i="1"/>
  <c r="N2" i="1"/>
  <c r="P2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J2" i="1"/>
  <c r="I2" i="1"/>
  <c r="H2" i="1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<sst xmlns="http://schemas.openxmlformats.org/spreadsheetml/2006/main" count="120" uniqueCount="77">
  <si>
    <t>Applicant ID</t>
  </si>
  <si>
    <t>Application Date &amp; Time</t>
  </si>
  <si>
    <t>Email</t>
  </si>
  <si>
    <t>Street</t>
  </si>
  <si>
    <t>City State Zip</t>
  </si>
  <si>
    <t>Skills List</t>
  </si>
  <si>
    <t> </t>
  </si>
  <si>
    <t>Month</t>
  </si>
  <si>
    <t>Day</t>
  </si>
  <si>
    <t>Year</t>
  </si>
  <si>
    <t>Application Date</t>
  </si>
  <si>
    <t>Today</t>
  </si>
  <si>
    <t>Days Since Applied</t>
  </si>
  <si>
    <t>Hour</t>
  </si>
  <si>
    <t>Minute</t>
  </si>
  <si>
    <t>Second</t>
  </si>
  <si>
    <t>Application Time</t>
  </si>
  <si>
    <t>Hours in a Day</t>
  </si>
  <si>
    <t>AID0123548</t>
  </si>
  <si>
    <t>pam.beesly@outlook.com</t>
  </si>
  <si>
    <t>457 Oak St</t>
  </si>
  <si>
    <t>San Jose, CA, 95101</t>
  </si>
  <si>
    <t>Kafka, DataBricks, Spark, Python, GCP</t>
  </si>
  <si>
    <t>AID0123549</t>
  </si>
  <si>
    <t>michael.scott@gmail.com</t>
  </si>
  <si>
    <t>203 Birch St</t>
  </si>
  <si>
    <t>Chicago, IL, 60601</t>
  </si>
  <si>
    <t>Power BI, GCP, Airflow, Hadoop, R</t>
  </si>
  <si>
    <t>AID0123550</t>
  </si>
  <si>
    <t>kevin.malone@aol.com</t>
  </si>
  <si>
    <t>790 Pine St</t>
  </si>
  <si>
    <t>Azure, Java, SQL, DataBricks</t>
  </si>
  <si>
    <t>AID0123551</t>
  </si>
  <si>
    <t>AID0123552</t>
  </si>
  <si>
    <t>jim.halpert@hotmail.com</t>
  </si>
  <si>
    <t>459 Oak St</t>
  </si>
  <si>
    <t>Philadelphia, PA, 19101</t>
  </si>
  <si>
    <t>DataBricks, Hadoop, Java</t>
  </si>
  <si>
    <t>AID0123553</t>
  </si>
  <si>
    <t>ryan.howard@aol.com</t>
  </si>
  <si>
    <t>204 Birch St</t>
  </si>
  <si>
    <t>Snowflake, Airflow, DataBricks</t>
  </si>
  <si>
    <t>AID0123554</t>
  </si>
  <si>
    <t>AID0123555</t>
  </si>
  <si>
    <t>AID0123556</t>
  </si>
  <si>
    <t>stanley.hudson@gmail.com</t>
  </si>
  <si>
    <t>123 Elm St</t>
  </si>
  <si>
    <t>Scala, Azure, R, Kafka</t>
  </si>
  <si>
    <t>AID0123557</t>
  </si>
  <si>
    <t>angela.martin@ymail.com</t>
  </si>
  <si>
    <t>Los Angeles, CA, 90001</t>
  </si>
  <si>
    <t>Snowflake, Excel, Scala</t>
  </si>
  <si>
    <t>AID0123558</t>
  </si>
  <si>
    <t>dwight.schrute@gmail.com</t>
  </si>
  <si>
    <t>San Diego, CA, 92101</t>
  </si>
  <si>
    <t>Excel, Power BI, R</t>
  </si>
  <si>
    <t>AID0123559</t>
  </si>
  <si>
    <t>oscar.martinez@outlook.com</t>
  </si>
  <si>
    <t>202 Birch St</t>
  </si>
  <si>
    <t>Scala, R, Hadoop, Power BI, SQL</t>
  </si>
  <si>
    <t>AID0123560</t>
  </si>
  <si>
    <t>AID0123561</t>
  </si>
  <si>
    <t>phyllis.vance@gmail.com</t>
  </si>
  <si>
    <t>Java, Scala, R</t>
  </si>
  <si>
    <t>AID0123562</t>
  </si>
  <si>
    <t>meredith.palmer@outlook.com</t>
  </si>
  <si>
    <t>456 Oak St</t>
  </si>
  <si>
    <t>DataBricks, Azure, Scala</t>
  </si>
  <si>
    <t>AID0123563</t>
  </si>
  <si>
    <t>Chicago, IL, 60602</t>
  </si>
  <si>
    <t>AID0123564</t>
  </si>
  <si>
    <t>AID0123565</t>
  </si>
  <si>
    <t>kelly.kapoor@gmail.com</t>
  </si>
  <si>
    <t>New York, NY, 10001</t>
  </si>
  <si>
    <t>Snowflake, Power BI, Tableau, Airflow, SQL</t>
  </si>
  <si>
    <t>AID0123566</t>
  </si>
  <si>
    <t>AID0123567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</si>
</sst>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3" borderId="4" xfId="0" applyFont="1" applyFill="1" applyBorder="1" applyAlignment="1"/>
    <xf numFmtId="0" fontId="1" fillId="2" borderId="0" xfId="0" applyFont="1" applyFill="1" applyBorder="1" applyAlignment="1"/>
    <xf numFmtId="0" fontId="2" fillId="0" borderId="0" xfId="0" applyFont="1" applyFill="1" applyBorder="1" applyAlignment="1"/>
    <xf numFmtId="0" fontId="1" fillId="2" borderId="0" xfId="0" applyFont="1" applyFill="1" applyAlignment="1"/>
    <xf numFmtId="0" fontId="2" fillId="0" borderId="5" xfId="0" applyFont="1" applyFill="1" applyBorder="1" applyAlignment="1"/>
    <xf numFmtId="0" fontId="2" fillId="0" borderId="6" xfId="0" applyFont="1" applyFill="1" applyBorder="1" applyAlignment="1"/>
    <xf numFmtId="22" fontId="2" fillId="0" borderId="6" xfId="0" applyNumberFormat="1" applyFont="1" applyFill="1" applyBorder="1" applyAlignment="1"/>
    <xf numFmtId="0" fontId="2" fillId="0" borderId="8" xfId="0" applyFont="1" applyFill="1" applyBorder="1" applyAlignment="1"/>
    <xf numFmtId="22" fontId="2" fillId="0" borderId="8" xfId="0" applyNumberFormat="1" applyFont="1" applyFill="1" applyBorder="1" applyAlignment="1"/>
    <xf numFmtId="0" fontId="1" fillId="2" borderId="3" xfId="0" applyFont="1" applyFill="1" applyBorder="1" applyAlignment="1">
      <alignment wrapText="1"/>
    </xf>
    <xf numFmtId="0" fontId="2" fillId="0" borderId="7" xfId="0" applyFont="1" applyFill="1" applyBorder="1" applyAlignment="1">
      <alignment wrapText="1"/>
    </xf>
    <xf numFmtId="0" fontId="2" fillId="0" borderId="9" xfId="0" applyFont="1" applyFill="1" applyBorder="1" applyAlignment="1">
      <alignment wrapText="1"/>
    </xf>
    <xf numFmtId="14" fontId="2" fillId="0" borderId="0" xfId="0" applyNumberFormat="1" applyFont="1" applyFill="1" applyBorder="1" applyAlignment="1"/>
    <xf numFmtId="18" fontId="2" fillId="0" borderId="0" xfId="0" applyNumberFormat="1" applyFont="1" applyFill="1" applyBorder="1" applyAlignment="1"/>
    <xf numFmtId="0" fontId="3" fillId="4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"/>
  <sheetViews>
    <sheetView tabSelected="1" topLeftCell="R1" workbookViewId="0">
      <selection activeCell="Z2" sqref="Z2"/>
    </sheetView>
  </sheetViews>
  <sheetFormatPr defaultRowHeight="15"/>
  <cols>
    <col min="1" max="1" width="11.7109375" bestFit="1" customWidth="1"/>
    <col min="2" max="2" width="22.5703125" bestFit="1" customWidth="1"/>
    <col min="3" max="3" width="28.5703125" hidden="1" customWidth="1"/>
    <col min="4" max="4" width="11.28515625" hidden="1" customWidth="1"/>
    <col min="5" max="5" width="21.42578125" hidden="1" customWidth="1"/>
    <col min="6" max="6" width="36.5703125" hidden="1" customWidth="1"/>
    <col min="8" max="11" width="0" hidden="1" customWidth="1"/>
    <col min="12" max="12" width="19.85546875" hidden="1" customWidth="1"/>
    <col min="13" max="13" width="0" hidden="1" customWidth="1"/>
    <col min="14" max="14" width="11.85546875" hidden="1" customWidth="1"/>
    <col min="15" max="15" width="0" hidden="1" customWidth="1"/>
    <col min="16" max="16" width="17.7109375" hidden="1" customWidth="1"/>
    <col min="22" max="23" width="15.85546875" bestFit="1" customWidth="1"/>
    <col min="24" max="24" width="15.42578125" bestFit="1" customWidth="1"/>
    <col min="25" max="25" width="13.7109375" bestFit="1" customWidth="1"/>
    <col min="26" max="26" width="16.5703125" bestFit="1" customWidth="1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/>
      <c r="L1" s="4" t="s">
        <v>10</v>
      </c>
      <c r="M1" s="5"/>
      <c r="N1" s="4" t="s">
        <v>11</v>
      </c>
      <c r="O1" s="5"/>
      <c r="P1" s="4" t="s">
        <v>12</v>
      </c>
      <c r="Q1" s="5"/>
      <c r="R1" s="4" t="s">
        <v>13</v>
      </c>
      <c r="S1" s="4" t="s">
        <v>14</v>
      </c>
      <c r="T1" s="4" t="s">
        <v>15</v>
      </c>
      <c r="U1" s="5"/>
      <c r="V1" s="4" t="s">
        <v>16</v>
      </c>
      <c r="W1" s="4" t="s">
        <v>16</v>
      </c>
      <c r="X1" s="17" t="s">
        <v>13</v>
      </c>
      <c r="Y1" s="4" t="s">
        <v>17</v>
      </c>
      <c r="Z1" s="6"/>
    </row>
    <row r="2" spans="1:26">
      <c r="A2" s="7" t="s">
        <v>18</v>
      </c>
      <c r="B2" s="9">
        <v>44971.640277777777</v>
      </c>
      <c r="C2" s="8" t="s">
        <v>19</v>
      </c>
      <c r="D2" s="8" t="s">
        <v>20</v>
      </c>
      <c r="E2" s="8" t="s">
        <v>21</v>
      </c>
      <c r="F2" s="13" t="s">
        <v>22</v>
      </c>
      <c r="G2" s="5"/>
      <c r="H2" s="5">
        <f>MONTH(B2)</f>
        <v>2</v>
      </c>
      <c r="I2" s="5">
        <f>DAY(B2)</f>
        <v>14</v>
      </c>
      <c r="J2" s="5">
        <f>YEAR(B2)</f>
        <v>2023</v>
      </c>
      <c r="K2" s="5"/>
      <c r="L2" s="15">
        <f>DATE(J2,H2,I2)</f>
        <v>44971</v>
      </c>
      <c r="M2" s="5"/>
      <c r="N2" s="15">
        <f ca="1">TODAY()</f>
        <v>46191</v>
      </c>
      <c r="O2" s="5"/>
      <c r="P2" s="5">
        <f ca="1">DATEDIF(L2,$N$2,"D")</f>
        <v>1220</v>
      </c>
      <c r="Q2" s="5"/>
      <c r="R2" s="5">
        <f>HOUR(B2)</f>
        <v>15</v>
      </c>
      <c r="S2" s="5">
        <f>MINUTE(B2)</f>
        <v>22</v>
      </c>
      <c r="T2" s="5">
        <f>SECOND(B2)</f>
        <v>0</v>
      </c>
      <c r="U2" s="5"/>
      <c r="V2" s="16">
        <f>TIME(R2,S2,T2)</f>
        <v>0.64027777777777772</v>
      </c>
      <c r="W2" s="5" t="str">
        <f>TEXT(B2,"HH:MM AM/PM")</f>
        <v>03:22 PM</v>
      </c>
      <c r="X2" s="5" cm="1">
        <f t="array" ref="X2:X21">HOUR(W2:W21)</f>
        <v>15</v>
      </c>
      <c r="Y2" s="5" cm="1">
        <f t="array" ref="Y2:Y25">_xlfn.SEQUENCE(24,,1)</f>
        <v>1</v>
      </c>
      <c r="Z2" s="5">
        <f>COUNTIF($X$2:$X$21,$Y2)</f>
        <v>0</v>
      </c>
    </row>
    <row r="3" spans="1:26">
      <c r="A3" s="7" t="s">
        <v>23</v>
      </c>
      <c r="B3" s="9">
        <v>45055.40625</v>
      </c>
      <c r="C3" s="8" t="s">
        <v>24</v>
      </c>
      <c r="D3" s="8" t="s">
        <v>25</v>
      </c>
      <c r="E3" s="8" t="s">
        <v>26</v>
      </c>
      <c r="F3" s="13" t="s">
        <v>27</v>
      </c>
      <c r="G3" s="5"/>
      <c r="H3" s="5">
        <f t="shared" ref="H3:H21" si="0">MONTH(B3)</f>
        <v>5</v>
      </c>
      <c r="I3" s="5">
        <f t="shared" ref="I3:I21" si="1">DAY(B3)</f>
        <v>9</v>
      </c>
      <c r="J3" s="5">
        <f t="shared" ref="J3:J21" si="2">YEAR(B3)</f>
        <v>2023</v>
      </c>
      <c r="K3" s="5"/>
      <c r="L3" s="15">
        <f t="shared" ref="L3:L21" si="3">DATE(J3,H3,I3)</f>
        <v>45055</v>
      </c>
      <c r="M3" s="5"/>
      <c r="N3" s="5"/>
      <c r="O3" s="5"/>
      <c r="P3" s="5">
        <f t="shared" ref="P3:P21" ca="1" si="4">DATEDIF(L3,$N$2,"D")</f>
        <v>1136</v>
      </c>
      <c r="Q3" s="5"/>
      <c r="R3" s="5">
        <f t="shared" ref="R3:R21" si="5">HOUR(B3)</f>
        <v>9</v>
      </c>
      <c r="S3" s="5">
        <f t="shared" ref="S3:S21" si="6">MINUTE(B3)</f>
        <v>45</v>
      </c>
      <c r="T3" s="5">
        <f t="shared" ref="T3:T21" si="7">SECOND(B3)</f>
        <v>0</v>
      </c>
      <c r="U3" s="5"/>
      <c r="V3" s="16">
        <f t="shared" ref="V3:V21" si="8">TIME(R3,S3,T3)</f>
        <v>0.40625</v>
      </c>
      <c r="W3" s="5" t="str">
        <f t="shared" ref="W3:W29" si="9">TEXT(B3,"HH:MM AM/PM")</f>
        <v>09:45 AM</v>
      </c>
      <c r="X3" s="5">
        <v>9</v>
      </c>
      <c r="Y3" s="5">
        <v>2</v>
      </c>
      <c r="Z3" s="5">
        <f t="shared" ref="Z3:Z11" si="10">COUNTIF($X$2:$X$21,$Y3)</f>
        <v>0</v>
      </c>
    </row>
    <row r="4" spans="1:26">
      <c r="A4" s="7" t="s">
        <v>28</v>
      </c>
      <c r="B4" s="9">
        <v>45128.729166666664</v>
      </c>
      <c r="C4" s="8" t="s">
        <v>29</v>
      </c>
      <c r="D4" s="8" t="s">
        <v>30</v>
      </c>
      <c r="E4" s="8" t="s">
        <v>26</v>
      </c>
      <c r="F4" s="13" t="s">
        <v>31</v>
      </c>
      <c r="G4" s="5"/>
      <c r="H4" s="5">
        <f t="shared" si="0"/>
        <v>7</v>
      </c>
      <c r="I4" s="5">
        <f t="shared" si="1"/>
        <v>21</v>
      </c>
      <c r="J4" s="5">
        <f t="shared" si="2"/>
        <v>2023</v>
      </c>
      <c r="K4" s="5"/>
      <c r="L4" s="15">
        <f t="shared" si="3"/>
        <v>45128</v>
      </c>
      <c r="M4" s="5"/>
      <c r="N4" s="5"/>
      <c r="O4" s="5"/>
      <c r="P4" s="5">
        <f t="shared" ca="1" si="4"/>
        <v>1063</v>
      </c>
      <c r="Q4" s="5"/>
      <c r="R4" s="5">
        <f t="shared" si="5"/>
        <v>17</v>
      </c>
      <c r="S4" s="5">
        <f t="shared" si="6"/>
        <v>30</v>
      </c>
      <c r="T4" s="5">
        <f t="shared" si="7"/>
        <v>0</v>
      </c>
      <c r="U4" s="5"/>
      <c r="V4" s="16">
        <f t="shared" si="8"/>
        <v>0.72916666666666663</v>
      </c>
      <c r="W4" s="5" t="str">
        <f t="shared" si="9"/>
        <v>05:30 PM</v>
      </c>
      <c r="X4" s="5">
        <v>17</v>
      </c>
      <c r="Y4" s="5">
        <v>3</v>
      </c>
      <c r="Z4" s="5">
        <f t="shared" si="10"/>
        <v>0</v>
      </c>
    </row>
    <row r="5" spans="1:26">
      <c r="A5" s="7" t="s">
        <v>32</v>
      </c>
      <c r="B5" s="9">
        <v>45173.302083333336</v>
      </c>
      <c r="C5" s="8" t="s">
        <v>19</v>
      </c>
      <c r="D5" s="8" t="s">
        <v>20</v>
      </c>
      <c r="E5" s="8" t="s">
        <v>21</v>
      </c>
      <c r="F5" s="13" t="s">
        <v>22</v>
      </c>
      <c r="G5" s="5"/>
      <c r="H5" s="5">
        <f t="shared" si="0"/>
        <v>9</v>
      </c>
      <c r="I5" s="5">
        <f t="shared" si="1"/>
        <v>4</v>
      </c>
      <c r="J5" s="5">
        <f t="shared" si="2"/>
        <v>2023</v>
      </c>
      <c r="K5" s="5"/>
      <c r="L5" s="15">
        <f t="shared" si="3"/>
        <v>45173</v>
      </c>
      <c r="M5" s="5"/>
      <c r="N5" s="5"/>
      <c r="O5" s="5"/>
      <c r="P5" s="5">
        <f t="shared" ca="1" si="4"/>
        <v>1018</v>
      </c>
      <c r="Q5" s="5"/>
      <c r="R5" s="5">
        <f t="shared" si="5"/>
        <v>7</v>
      </c>
      <c r="S5" s="5">
        <f t="shared" si="6"/>
        <v>15</v>
      </c>
      <c r="T5" s="5">
        <f t="shared" si="7"/>
        <v>0</v>
      </c>
      <c r="U5" s="5"/>
      <c r="V5" s="16">
        <f t="shared" si="8"/>
        <v>0.30208333333333331</v>
      </c>
      <c r="W5" s="5" t="str">
        <f t="shared" si="9"/>
        <v>07:15 AM</v>
      </c>
      <c r="X5" s="5">
        <v>7</v>
      </c>
      <c r="Y5" s="5">
        <v>4</v>
      </c>
      <c r="Z5" s="5">
        <f t="shared" si="10"/>
        <v>0</v>
      </c>
    </row>
    <row r="6" spans="1:26">
      <c r="A6" s="7" t="s">
        <v>33</v>
      </c>
      <c r="B6" s="9">
        <v>45248.708333333336</v>
      </c>
      <c r="C6" s="8" t="s">
        <v>34</v>
      </c>
      <c r="D6" s="8" t="s">
        <v>35</v>
      </c>
      <c r="E6" s="8" t="s">
        <v>36</v>
      </c>
      <c r="F6" s="13" t="s">
        <v>37</v>
      </c>
      <c r="G6" s="5"/>
      <c r="H6" s="5">
        <f t="shared" si="0"/>
        <v>11</v>
      </c>
      <c r="I6" s="5">
        <f t="shared" si="1"/>
        <v>18</v>
      </c>
      <c r="J6" s="5">
        <f t="shared" si="2"/>
        <v>2023</v>
      </c>
      <c r="K6" s="5"/>
      <c r="L6" s="15">
        <f t="shared" si="3"/>
        <v>45248</v>
      </c>
      <c r="M6" s="5"/>
      <c r="N6" s="5"/>
      <c r="O6" s="5"/>
      <c r="P6" s="5">
        <f t="shared" ca="1" si="4"/>
        <v>943</v>
      </c>
      <c r="Q6" s="5"/>
      <c r="R6" s="5">
        <f t="shared" si="5"/>
        <v>17</v>
      </c>
      <c r="S6" s="5">
        <f t="shared" si="6"/>
        <v>0</v>
      </c>
      <c r="T6" s="5">
        <f t="shared" si="7"/>
        <v>0</v>
      </c>
      <c r="U6" s="5"/>
      <c r="V6" s="16">
        <f t="shared" si="8"/>
        <v>0.70833333333333337</v>
      </c>
      <c r="W6" s="5" t="str">
        <f t="shared" si="9"/>
        <v>05:00 PM</v>
      </c>
      <c r="X6" s="5">
        <v>17</v>
      </c>
      <c r="Y6" s="5">
        <v>5</v>
      </c>
      <c r="Z6" s="5">
        <f t="shared" si="10"/>
        <v>0</v>
      </c>
    </row>
    <row r="7" spans="1:26">
      <c r="A7" s="7" t="s">
        <v>38</v>
      </c>
      <c r="B7" s="9">
        <v>45302.53125</v>
      </c>
      <c r="C7" s="8" t="s">
        <v>39</v>
      </c>
      <c r="D7" s="8" t="s">
        <v>40</v>
      </c>
      <c r="E7" s="8" t="s">
        <v>36</v>
      </c>
      <c r="F7" s="13" t="s">
        <v>41</v>
      </c>
      <c r="G7" s="5"/>
      <c r="H7" s="5">
        <f t="shared" si="0"/>
        <v>1</v>
      </c>
      <c r="I7" s="5">
        <f t="shared" si="1"/>
        <v>11</v>
      </c>
      <c r="J7" s="5">
        <f t="shared" si="2"/>
        <v>2024</v>
      </c>
      <c r="K7" s="5"/>
      <c r="L7" s="15">
        <f t="shared" si="3"/>
        <v>45302</v>
      </c>
      <c r="M7" s="5"/>
      <c r="N7" s="5"/>
      <c r="O7" s="5"/>
      <c r="P7" s="5">
        <f t="shared" ca="1" si="4"/>
        <v>889</v>
      </c>
      <c r="Q7" s="5"/>
      <c r="R7" s="5">
        <f t="shared" si="5"/>
        <v>12</v>
      </c>
      <c r="S7" s="5">
        <f t="shared" si="6"/>
        <v>45</v>
      </c>
      <c r="T7" s="5">
        <f t="shared" si="7"/>
        <v>0</v>
      </c>
      <c r="U7" s="5"/>
      <c r="V7" s="16">
        <f t="shared" si="8"/>
        <v>0.53125</v>
      </c>
      <c r="W7" s="5" t="str">
        <f t="shared" si="9"/>
        <v>12:45 PM</v>
      </c>
      <c r="X7" s="5">
        <v>12</v>
      </c>
      <c r="Y7" s="5">
        <v>6</v>
      </c>
      <c r="Z7" s="5">
        <f t="shared" si="10"/>
        <v>1</v>
      </c>
    </row>
    <row r="8" spans="1:26">
      <c r="A8" s="7" t="s">
        <v>42</v>
      </c>
      <c r="B8" s="9">
        <v>45354.6875</v>
      </c>
      <c r="C8" s="8" t="s">
        <v>29</v>
      </c>
      <c r="D8" s="8" t="s">
        <v>30</v>
      </c>
      <c r="E8" s="8" t="s">
        <v>26</v>
      </c>
      <c r="F8" s="13" t="s">
        <v>31</v>
      </c>
      <c r="G8" s="5"/>
      <c r="H8" s="5">
        <f t="shared" si="0"/>
        <v>3</v>
      </c>
      <c r="I8" s="5">
        <f t="shared" si="1"/>
        <v>3</v>
      </c>
      <c r="J8" s="5">
        <f t="shared" si="2"/>
        <v>2024</v>
      </c>
      <c r="K8" s="5"/>
      <c r="L8" s="15">
        <f t="shared" si="3"/>
        <v>45354</v>
      </c>
      <c r="M8" s="5"/>
      <c r="N8" s="5"/>
      <c r="O8" s="5"/>
      <c r="P8" s="5">
        <f t="shared" ca="1" si="4"/>
        <v>837</v>
      </c>
      <c r="Q8" s="5"/>
      <c r="R8" s="5">
        <f t="shared" si="5"/>
        <v>16</v>
      </c>
      <c r="S8" s="5">
        <f t="shared" si="6"/>
        <v>30</v>
      </c>
      <c r="T8" s="5">
        <f t="shared" si="7"/>
        <v>0</v>
      </c>
      <c r="U8" s="5"/>
      <c r="V8" s="16">
        <f t="shared" si="8"/>
        <v>0.6875</v>
      </c>
      <c r="W8" s="5" t="str">
        <f t="shared" si="9"/>
        <v>04:30 PM</v>
      </c>
      <c r="X8" s="5">
        <v>16</v>
      </c>
      <c r="Y8" s="5">
        <v>7</v>
      </c>
      <c r="Z8" s="5">
        <f t="shared" si="10"/>
        <v>3</v>
      </c>
    </row>
    <row r="9" spans="1:26">
      <c r="A9" s="7" t="s">
        <v>43</v>
      </c>
      <c r="B9" s="9">
        <v>45408.340277777781</v>
      </c>
      <c r="C9" s="8" t="s">
        <v>39</v>
      </c>
      <c r="D9" s="8" t="s">
        <v>40</v>
      </c>
      <c r="E9" s="8" t="s">
        <v>36</v>
      </c>
      <c r="F9" s="13" t="s">
        <v>41</v>
      </c>
      <c r="G9" s="5"/>
      <c r="H9" s="5">
        <f t="shared" si="0"/>
        <v>4</v>
      </c>
      <c r="I9" s="5">
        <f t="shared" si="1"/>
        <v>26</v>
      </c>
      <c r="J9" s="5">
        <f t="shared" si="2"/>
        <v>2024</v>
      </c>
      <c r="K9" s="5"/>
      <c r="L9" s="15">
        <f t="shared" si="3"/>
        <v>45408</v>
      </c>
      <c r="M9" s="5"/>
      <c r="N9" s="5"/>
      <c r="O9" s="5"/>
      <c r="P9" s="5">
        <f t="shared" ca="1" si="4"/>
        <v>783</v>
      </c>
      <c r="Q9" s="5"/>
      <c r="R9" s="5">
        <f t="shared" si="5"/>
        <v>8</v>
      </c>
      <c r="S9" s="5">
        <f t="shared" si="6"/>
        <v>10</v>
      </c>
      <c r="T9" s="5">
        <f t="shared" si="7"/>
        <v>0</v>
      </c>
      <c r="U9" s="5"/>
      <c r="V9" s="16">
        <f t="shared" si="8"/>
        <v>0.34027777777777779</v>
      </c>
      <c r="W9" s="5" t="str">
        <f t="shared" si="9"/>
        <v>08:10 AM</v>
      </c>
      <c r="X9" s="5">
        <v>8</v>
      </c>
      <c r="Y9" s="5">
        <v>8</v>
      </c>
      <c r="Z9" s="5">
        <f t="shared" si="10"/>
        <v>1</v>
      </c>
    </row>
    <row r="10" spans="1:26">
      <c r="A10" s="7" t="s">
        <v>44</v>
      </c>
      <c r="B10" s="9">
        <v>45458.743055555555</v>
      </c>
      <c r="C10" s="8" t="s">
        <v>45</v>
      </c>
      <c r="D10" s="8" t="s">
        <v>46</v>
      </c>
      <c r="E10" s="8" t="s">
        <v>26</v>
      </c>
      <c r="F10" s="13" t="s">
        <v>47</v>
      </c>
      <c r="G10" s="5"/>
      <c r="H10" s="5">
        <f t="shared" si="0"/>
        <v>6</v>
      </c>
      <c r="I10" s="5">
        <f t="shared" si="1"/>
        <v>15</v>
      </c>
      <c r="J10" s="5">
        <f t="shared" si="2"/>
        <v>2024</v>
      </c>
      <c r="K10" s="5"/>
      <c r="L10" s="15">
        <f t="shared" si="3"/>
        <v>45458</v>
      </c>
      <c r="M10" s="5"/>
      <c r="N10" s="5"/>
      <c r="O10" s="5"/>
      <c r="P10" s="5">
        <f t="shared" ca="1" si="4"/>
        <v>733</v>
      </c>
      <c r="Q10" s="5"/>
      <c r="R10" s="5">
        <f t="shared" si="5"/>
        <v>17</v>
      </c>
      <c r="S10" s="5">
        <f t="shared" si="6"/>
        <v>50</v>
      </c>
      <c r="T10" s="5">
        <f t="shared" si="7"/>
        <v>0</v>
      </c>
      <c r="U10" s="5"/>
      <c r="V10" s="16">
        <f t="shared" si="8"/>
        <v>0.74305555555555558</v>
      </c>
      <c r="W10" s="5" t="str">
        <f t="shared" si="9"/>
        <v>05:50 PM</v>
      </c>
      <c r="X10" s="5">
        <v>17</v>
      </c>
      <c r="Y10" s="5">
        <v>9</v>
      </c>
      <c r="Z10" s="5">
        <f t="shared" si="10"/>
        <v>1</v>
      </c>
    </row>
    <row r="11" spans="1:26">
      <c r="A11" s="7" t="s">
        <v>48</v>
      </c>
      <c r="B11" s="9">
        <v>45480.607638888891</v>
      </c>
      <c r="C11" s="8" t="s">
        <v>49</v>
      </c>
      <c r="D11" s="8" t="s">
        <v>46</v>
      </c>
      <c r="E11" s="8" t="s">
        <v>50</v>
      </c>
      <c r="F11" s="13" t="s">
        <v>51</v>
      </c>
      <c r="G11" s="5"/>
      <c r="H11" s="5">
        <f t="shared" si="0"/>
        <v>7</v>
      </c>
      <c r="I11" s="5">
        <f t="shared" si="1"/>
        <v>7</v>
      </c>
      <c r="J11" s="5">
        <f t="shared" si="2"/>
        <v>2024</v>
      </c>
      <c r="K11" s="5"/>
      <c r="L11" s="15">
        <f t="shared" si="3"/>
        <v>45480</v>
      </c>
      <c r="M11" s="5"/>
      <c r="N11" s="5"/>
      <c r="O11" s="5"/>
      <c r="P11" s="5">
        <f t="shared" ca="1" si="4"/>
        <v>711</v>
      </c>
      <c r="Q11" s="5"/>
      <c r="R11" s="5">
        <f t="shared" si="5"/>
        <v>14</v>
      </c>
      <c r="S11" s="5">
        <f t="shared" si="6"/>
        <v>35</v>
      </c>
      <c r="T11" s="5">
        <f t="shared" si="7"/>
        <v>0</v>
      </c>
      <c r="U11" s="5"/>
      <c r="V11" s="16">
        <f t="shared" si="8"/>
        <v>0.60763888888888884</v>
      </c>
      <c r="W11" s="5" t="str">
        <f t="shared" si="9"/>
        <v>02:35 PM</v>
      </c>
      <c r="X11" s="5">
        <v>14</v>
      </c>
      <c r="Y11" s="5">
        <v>10</v>
      </c>
      <c r="Z11" s="5">
        <f t="shared" si="10"/>
        <v>1</v>
      </c>
    </row>
    <row r="12" spans="1:26">
      <c r="A12" s="7" t="s">
        <v>52</v>
      </c>
      <c r="B12" s="9">
        <v>45455.284722222219</v>
      </c>
      <c r="C12" s="8" t="s">
        <v>53</v>
      </c>
      <c r="D12" s="8" t="s">
        <v>46</v>
      </c>
      <c r="E12" s="8" t="s">
        <v>54</v>
      </c>
      <c r="F12" s="13" t="s">
        <v>55</v>
      </c>
      <c r="G12" s="5"/>
      <c r="H12" s="5">
        <f t="shared" si="0"/>
        <v>6</v>
      </c>
      <c r="I12" s="5">
        <f t="shared" si="1"/>
        <v>12</v>
      </c>
      <c r="J12" s="5">
        <f t="shared" si="2"/>
        <v>2024</v>
      </c>
      <c r="K12" s="5"/>
      <c r="L12" s="15">
        <f t="shared" si="3"/>
        <v>45455</v>
      </c>
      <c r="M12" s="5"/>
      <c r="N12" s="5"/>
      <c r="O12" s="5"/>
      <c r="P12" s="5">
        <f t="shared" ca="1" si="4"/>
        <v>736</v>
      </c>
      <c r="Q12" s="5"/>
      <c r="R12" s="5">
        <f t="shared" si="5"/>
        <v>6</v>
      </c>
      <c r="S12" s="5">
        <f t="shared" si="6"/>
        <v>50</v>
      </c>
      <c r="T12" s="5">
        <f t="shared" si="7"/>
        <v>0</v>
      </c>
      <c r="U12" s="5"/>
      <c r="V12" s="16">
        <f t="shared" si="8"/>
        <v>0.28472222222222221</v>
      </c>
      <c r="W12" s="5" t="str">
        <f t="shared" si="9"/>
        <v>06:50 AM</v>
      </c>
      <c r="X12" s="5">
        <v>6</v>
      </c>
      <c r="Y12" s="5">
        <v>11</v>
      </c>
      <c r="Z12" s="5">
        <f t="shared" ref="Z3:Z21" si="11">COUNTIF(X12:X31,$Y12)</f>
        <v>1</v>
      </c>
    </row>
    <row r="13" spans="1:26">
      <c r="A13" s="7" t="s">
        <v>56</v>
      </c>
      <c r="B13" s="9">
        <v>44951.552083333336</v>
      </c>
      <c r="C13" s="8" t="s">
        <v>57</v>
      </c>
      <c r="D13" s="8" t="s">
        <v>58</v>
      </c>
      <c r="E13" s="8" t="s">
        <v>26</v>
      </c>
      <c r="F13" s="13" t="s">
        <v>59</v>
      </c>
      <c r="G13" s="5"/>
      <c r="H13" s="5">
        <f t="shared" si="0"/>
        <v>1</v>
      </c>
      <c r="I13" s="5">
        <f t="shared" si="1"/>
        <v>25</v>
      </c>
      <c r="J13" s="5">
        <f t="shared" si="2"/>
        <v>2023</v>
      </c>
      <c r="K13" s="5"/>
      <c r="L13" s="15">
        <f t="shared" si="3"/>
        <v>44951</v>
      </c>
      <c r="M13" s="5"/>
      <c r="N13" s="5"/>
      <c r="O13" s="5"/>
      <c r="P13" s="5">
        <f t="shared" ca="1" si="4"/>
        <v>1240</v>
      </c>
      <c r="Q13" s="5"/>
      <c r="R13" s="5">
        <f t="shared" si="5"/>
        <v>13</v>
      </c>
      <c r="S13" s="5">
        <f t="shared" si="6"/>
        <v>15</v>
      </c>
      <c r="T13" s="5">
        <f t="shared" si="7"/>
        <v>0</v>
      </c>
      <c r="U13" s="5"/>
      <c r="V13" s="16">
        <f t="shared" si="8"/>
        <v>0.55208333333333337</v>
      </c>
      <c r="W13" s="5" t="str">
        <f t="shared" si="9"/>
        <v>01:15 PM</v>
      </c>
      <c r="X13" s="5">
        <v>13</v>
      </c>
      <c r="Y13" s="5">
        <v>12</v>
      </c>
      <c r="Z13" s="5">
        <f t="shared" si="11"/>
        <v>0</v>
      </c>
    </row>
    <row r="14" spans="1:26">
      <c r="A14" s="7" t="s">
        <v>60</v>
      </c>
      <c r="B14" s="9">
        <v>45002.489583333336</v>
      </c>
      <c r="C14" s="8" t="s">
        <v>39</v>
      </c>
      <c r="D14" s="8" t="s">
        <v>40</v>
      </c>
      <c r="E14" s="8" t="s">
        <v>36</v>
      </c>
      <c r="F14" s="13" t="s">
        <v>41</v>
      </c>
      <c r="G14" s="5"/>
      <c r="H14" s="5">
        <f t="shared" si="0"/>
        <v>3</v>
      </c>
      <c r="I14" s="5">
        <f t="shared" si="1"/>
        <v>17</v>
      </c>
      <c r="J14" s="5">
        <f t="shared" si="2"/>
        <v>2023</v>
      </c>
      <c r="K14" s="5"/>
      <c r="L14" s="15">
        <f t="shared" si="3"/>
        <v>45002</v>
      </c>
      <c r="M14" s="5"/>
      <c r="N14" s="5"/>
      <c r="O14" s="5"/>
      <c r="P14" s="5">
        <f t="shared" ca="1" si="4"/>
        <v>1189</v>
      </c>
      <c r="Q14" s="5"/>
      <c r="R14" s="5">
        <f t="shared" si="5"/>
        <v>11</v>
      </c>
      <c r="S14" s="5">
        <f t="shared" si="6"/>
        <v>45</v>
      </c>
      <c r="T14" s="5">
        <f t="shared" si="7"/>
        <v>0</v>
      </c>
      <c r="U14" s="5"/>
      <c r="V14" s="16">
        <f t="shared" si="8"/>
        <v>0.48958333333333331</v>
      </c>
      <c r="W14" s="5" t="str">
        <f t="shared" si="9"/>
        <v>11:45 AM</v>
      </c>
      <c r="X14" s="5">
        <v>11</v>
      </c>
      <c r="Y14" s="5">
        <v>13</v>
      </c>
      <c r="Z14" s="5">
        <f t="shared" si="11"/>
        <v>0</v>
      </c>
    </row>
    <row r="15" spans="1:26">
      <c r="A15" s="7" t="s">
        <v>61</v>
      </c>
      <c r="B15" s="9">
        <v>45078.416666666664</v>
      </c>
      <c r="C15" s="8" t="s">
        <v>62</v>
      </c>
      <c r="D15" s="8" t="s">
        <v>46</v>
      </c>
      <c r="E15" s="8" t="s">
        <v>26</v>
      </c>
      <c r="F15" s="13" t="s">
        <v>63</v>
      </c>
      <c r="G15" s="5"/>
      <c r="H15" s="5">
        <f t="shared" si="0"/>
        <v>6</v>
      </c>
      <c r="I15" s="5">
        <f t="shared" si="1"/>
        <v>1</v>
      </c>
      <c r="J15" s="5">
        <f t="shared" si="2"/>
        <v>2023</v>
      </c>
      <c r="K15" s="5"/>
      <c r="L15" s="15">
        <f t="shared" si="3"/>
        <v>45078</v>
      </c>
      <c r="M15" s="5"/>
      <c r="N15" s="5"/>
      <c r="O15" s="5"/>
      <c r="P15" s="5">
        <f t="shared" ca="1" si="4"/>
        <v>1113</v>
      </c>
      <c r="Q15" s="5"/>
      <c r="R15" s="5">
        <f t="shared" si="5"/>
        <v>10</v>
      </c>
      <c r="S15" s="5">
        <f t="shared" si="6"/>
        <v>0</v>
      </c>
      <c r="T15" s="5">
        <f t="shared" si="7"/>
        <v>0</v>
      </c>
      <c r="U15" s="5"/>
      <c r="V15" s="16">
        <f t="shared" si="8"/>
        <v>0.41666666666666669</v>
      </c>
      <c r="W15" s="5" t="str">
        <f t="shared" si="9"/>
        <v>10:00 AM</v>
      </c>
      <c r="X15" s="5">
        <v>10</v>
      </c>
      <c r="Y15" s="5">
        <v>14</v>
      </c>
      <c r="Z15" s="5">
        <f t="shared" si="11"/>
        <v>0</v>
      </c>
    </row>
    <row r="16" spans="1:26">
      <c r="A16" s="7" t="s">
        <v>64</v>
      </c>
      <c r="B16" s="9">
        <v>45168.729166666664</v>
      </c>
      <c r="C16" s="8" t="s">
        <v>65</v>
      </c>
      <c r="D16" s="8" t="s">
        <v>66</v>
      </c>
      <c r="E16" s="8" t="s">
        <v>26</v>
      </c>
      <c r="F16" s="13" t="s">
        <v>67</v>
      </c>
      <c r="G16" s="5"/>
      <c r="H16" s="5">
        <f t="shared" si="0"/>
        <v>8</v>
      </c>
      <c r="I16" s="5">
        <f t="shared" si="1"/>
        <v>30</v>
      </c>
      <c r="J16" s="5">
        <f t="shared" si="2"/>
        <v>2023</v>
      </c>
      <c r="K16" s="5"/>
      <c r="L16" s="15">
        <f t="shared" si="3"/>
        <v>45168</v>
      </c>
      <c r="M16" s="5"/>
      <c r="N16" s="5"/>
      <c r="O16" s="5"/>
      <c r="P16" s="5">
        <f t="shared" ca="1" si="4"/>
        <v>1023</v>
      </c>
      <c r="Q16" s="5"/>
      <c r="R16" s="5">
        <f t="shared" si="5"/>
        <v>17</v>
      </c>
      <c r="S16" s="5">
        <f t="shared" si="6"/>
        <v>30</v>
      </c>
      <c r="T16" s="5">
        <f t="shared" si="7"/>
        <v>0</v>
      </c>
      <c r="U16" s="5"/>
      <c r="V16" s="16">
        <f t="shared" si="8"/>
        <v>0.72916666666666663</v>
      </c>
      <c r="W16" s="5" t="str">
        <f t="shared" si="9"/>
        <v>05:30 PM</v>
      </c>
      <c r="X16" s="5">
        <v>17</v>
      </c>
      <c r="Y16" s="5">
        <v>15</v>
      </c>
      <c r="Z16" s="5">
        <f t="shared" si="11"/>
        <v>0</v>
      </c>
    </row>
    <row r="17" spans="1:26">
      <c r="A17" s="7" t="s">
        <v>68</v>
      </c>
      <c r="B17" s="9">
        <v>45218.319444444445</v>
      </c>
      <c r="C17" s="8" t="s">
        <v>24</v>
      </c>
      <c r="D17" s="8" t="s">
        <v>25</v>
      </c>
      <c r="E17" s="8" t="s">
        <v>69</v>
      </c>
      <c r="F17" s="13" t="s">
        <v>27</v>
      </c>
      <c r="G17" s="5"/>
      <c r="H17" s="5">
        <f t="shared" si="0"/>
        <v>10</v>
      </c>
      <c r="I17" s="5">
        <f t="shared" si="1"/>
        <v>19</v>
      </c>
      <c r="J17" s="5">
        <f t="shared" si="2"/>
        <v>2023</v>
      </c>
      <c r="K17" s="5"/>
      <c r="L17" s="15">
        <f t="shared" si="3"/>
        <v>45218</v>
      </c>
      <c r="M17" s="5"/>
      <c r="N17" s="5"/>
      <c r="O17" s="5"/>
      <c r="P17" s="5">
        <f t="shared" ca="1" si="4"/>
        <v>973</v>
      </c>
      <c r="Q17" s="5"/>
      <c r="R17" s="5">
        <f t="shared" si="5"/>
        <v>7</v>
      </c>
      <c r="S17" s="5">
        <f t="shared" si="6"/>
        <v>40</v>
      </c>
      <c r="T17" s="5">
        <f t="shared" si="7"/>
        <v>0</v>
      </c>
      <c r="U17" s="5"/>
      <c r="V17" s="16">
        <f t="shared" si="8"/>
        <v>0.31944444444444442</v>
      </c>
      <c r="W17" s="5" t="str">
        <f t="shared" si="9"/>
        <v>07:40 AM</v>
      </c>
      <c r="X17" s="5">
        <v>7</v>
      </c>
      <c r="Y17" s="5">
        <v>16</v>
      </c>
      <c r="Z17" s="5">
        <f t="shared" si="11"/>
        <v>0</v>
      </c>
    </row>
    <row r="18" spans="1:26">
      <c r="A18" s="7" t="s">
        <v>70</v>
      </c>
      <c r="B18" s="9">
        <v>45350.71875</v>
      </c>
      <c r="C18" s="8" t="s">
        <v>34</v>
      </c>
      <c r="D18" s="8" t="s">
        <v>35</v>
      </c>
      <c r="E18" s="8" t="s">
        <v>36</v>
      </c>
      <c r="F18" s="13" t="s">
        <v>37</v>
      </c>
      <c r="G18" s="5"/>
      <c r="H18" s="5">
        <f t="shared" si="0"/>
        <v>2</v>
      </c>
      <c r="I18" s="5">
        <f t="shared" si="1"/>
        <v>28</v>
      </c>
      <c r="J18" s="5">
        <f t="shared" si="2"/>
        <v>2024</v>
      </c>
      <c r="K18" s="5"/>
      <c r="L18" s="15">
        <f t="shared" si="3"/>
        <v>45350</v>
      </c>
      <c r="M18" s="5"/>
      <c r="N18" s="5"/>
      <c r="O18" s="5"/>
      <c r="P18" s="5">
        <f t="shared" ca="1" si="4"/>
        <v>841</v>
      </c>
      <c r="Q18" s="5"/>
      <c r="R18" s="5">
        <f t="shared" si="5"/>
        <v>17</v>
      </c>
      <c r="S18" s="5">
        <f t="shared" si="6"/>
        <v>15</v>
      </c>
      <c r="T18" s="5">
        <f t="shared" si="7"/>
        <v>0</v>
      </c>
      <c r="U18" s="5"/>
      <c r="V18" s="16">
        <f t="shared" si="8"/>
        <v>0.71875</v>
      </c>
      <c r="W18" s="5" t="str">
        <f t="shared" si="9"/>
        <v>05:15 PM</v>
      </c>
      <c r="X18" s="5">
        <v>17</v>
      </c>
      <c r="Y18" s="5">
        <v>17</v>
      </c>
      <c r="Z18" s="5">
        <f t="shared" si="11"/>
        <v>3</v>
      </c>
    </row>
    <row r="19" spans="1:26" ht="30.75">
      <c r="A19" s="7" t="s">
        <v>71</v>
      </c>
      <c r="B19" s="9">
        <v>45418.725694444445</v>
      </c>
      <c r="C19" s="8" t="s">
        <v>72</v>
      </c>
      <c r="D19" s="8" t="s">
        <v>66</v>
      </c>
      <c r="E19" s="8" t="s">
        <v>73</v>
      </c>
      <c r="F19" s="13" t="s">
        <v>74</v>
      </c>
      <c r="G19" s="5"/>
      <c r="H19" s="5">
        <f t="shared" si="0"/>
        <v>5</v>
      </c>
      <c r="I19" s="5">
        <f t="shared" si="1"/>
        <v>6</v>
      </c>
      <c r="J19" s="5">
        <f t="shared" si="2"/>
        <v>2024</v>
      </c>
      <c r="K19" s="5"/>
      <c r="L19" s="15">
        <f t="shared" si="3"/>
        <v>45418</v>
      </c>
      <c r="M19" s="5"/>
      <c r="N19" s="5"/>
      <c r="O19" s="5"/>
      <c r="P19" s="5">
        <f t="shared" ca="1" si="4"/>
        <v>773</v>
      </c>
      <c r="Q19" s="5"/>
      <c r="R19" s="5">
        <f t="shared" si="5"/>
        <v>17</v>
      </c>
      <c r="S19" s="5">
        <f t="shared" si="6"/>
        <v>25</v>
      </c>
      <c r="T19" s="5">
        <f t="shared" si="7"/>
        <v>0</v>
      </c>
      <c r="U19" s="5"/>
      <c r="V19" s="16">
        <f t="shared" si="8"/>
        <v>0.72569444444444442</v>
      </c>
      <c r="W19" s="5" t="str">
        <f t="shared" si="9"/>
        <v>05:25 PM</v>
      </c>
      <c r="X19" s="5">
        <v>17</v>
      </c>
      <c r="Y19" s="5">
        <v>18</v>
      </c>
      <c r="Z19" s="5">
        <f t="shared" si="11"/>
        <v>0</v>
      </c>
    </row>
    <row r="20" spans="1:26">
      <c r="A20" s="7" t="s">
        <v>75</v>
      </c>
      <c r="B20" s="9">
        <v>45496.291666666664</v>
      </c>
      <c r="C20" s="8" t="s">
        <v>34</v>
      </c>
      <c r="D20" s="8" t="s">
        <v>35</v>
      </c>
      <c r="E20" s="8" t="s">
        <v>36</v>
      </c>
      <c r="F20" s="13" t="s">
        <v>37</v>
      </c>
      <c r="G20" s="5"/>
      <c r="H20" s="5">
        <f t="shared" si="0"/>
        <v>7</v>
      </c>
      <c r="I20" s="5">
        <f t="shared" si="1"/>
        <v>23</v>
      </c>
      <c r="J20" s="5">
        <f t="shared" si="2"/>
        <v>2024</v>
      </c>
      <c r="K20" s="5"/>
      <c r="L20" s="15">
        <f t="shared" si="3"/>
        <v>45496</v>
      </c>
      <c r="M20" s="5"/>
      <c r="N20" s="5"/>
      <c r="O20" s="5"/>
      <c r="P20" s="5">
        <f t="shared" ca="1" si="4"/>
        <v>695</v>
      </c>
      <c r="Q20" s="5"/>
      <c r="R20" s="5">
        <f t="shared" si="5"/>
        <v>7</v>
      </c>
      <c r="S20" s="5">
        <f t="shared" si="6"/>
        <v>0</v>
      </c>
      <c r="T20" s="5">
        <f t="shared" si="7"/>
        <v>0</v>
      </c>
      <c r="U20" s="5"/>
      <c r="V20" s="16">
        <f t="shared" si="8"/>
        <v>0.29166666666666669</v>
      </c>
      <c r="W20" s="5" t="str">
        <f t="shared" si="9"/>
        <v>07:00 AM</v>
      </c>
      <c r="X20" s="5">
        <v>7</v>
      </c>
      <c r="Y20" s="5">
        <v>19</v>
      </c>
      <c r="Z20" s="5">
        <f t="shared" si="11"/>
        <v>0</v>
      </c>
    </row>
    <row r="21" spans="1:26">
      <c r="A21" s="7" t="s">
        <v>76</v>
      </c>
      <c r="B21" s="11">
        <v>45422.739583333336</v>
      </c>
      <c r="C21" s="10" t="s">
        <v>34</v>
      </c>
      <c r="D21" s="10" t="s">
        <v>35</v>
      </c>
      <c r="E21" s="10" t="s">
        <v>73</v>
      </c>
      <c r="F21" s="14" t="s">
        <v>37</v>
      </c>
      <c r="G21" s="5"/>
      <c r="H21" s="5">
        <f t="shared" si="0"/>
        <v>5</v>
      </c>
      <c r="I21" s="5">
        <f t="shared" si="1"/>
        <v>10</v>
      </c>
      <c r="J21" s="5">
        <f t="shared" si="2"/>
        <v>2024</v>
      </c>
      <c r="K21" s="5"/>
      <c r="L21" s="15">
        <f t="shared" si="3"/>
        <v>45422</v>
      </c>
      <c r="M21" s="5"/>
      <c r="N21" s="5"/>
      <c r="O21" s="5"/>
      <c r="P21" s="5">
        <f t="shared" ca="1" si="4"/>
        <v>769</v>
      </c>
      <c r="Q21" s="5"/>
      <c r="R21" s="5">
        <f t="shared" si="5"/>
        <v>17</v>
      </c>
      <c r="S21" s="5">
        <f t="shared" si="6"/>
        <v>45</v>
      </c>
      <c r="T21" s="5">
        <f t="shared" si="7"/>
        <v>0</v>
      </c>
      <c r="U21" s="5"/>
      <c r="V21" s="16">
        <f t="shared" si="8"/>
        <v>0.73958333333333337</v>
      </c>
      <c r="W21" s="5" t="str">
        <f t="shared" si="9"/>
        <v>05:45 PM</v>
      </c>
      <c r="X21" s="5">
        <v>17</v>
      </c>
      <c r="Y21" s="5">
        <v>20</v>
      </c>
      <c r="Z21" s="5">
        <f t="shared" si="11"/>
        <v>0</v>
      </c>
    </row>
    <row r="22" spans="1:26">
      <c r="W22" s="5"/>
      <c r="Y22">
        <v>21</v>
      </c>
    </row>
    <row r="23" spans="1:26">
      <c r="W23" s="5"/>
      <c r="Y23">
        <v>22</v>
      </c>
    </row>
    <row r="24" spans="1:26">
      <c r="W24" s="5"/>
      <c r="Y24">
        <v>23</v>
      </c>
    </row>
    <row r="25" spans="1:26">
      <c r="W25" s="5"/>
      <c r="Y25">
        <v>24</v>
      </c>
    </row>
    <row r="26" spans="1:26">
      <c r="W26" s="5"/>
    </row>
    <row r="27" spans="1:26">
      <c r="W27" s="5"/>
    </row>
    <row r="28" spans="1:26">
      <c r="W28" s="5"/>
    </row>
    <row r="29" spans="1:26">
      <c r="W2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Fadi Joma</cp:lastModifiedBy>
  <cp:revision/>
  <dcterms:created xsi:type="dcterms:W3CDTF">2026-06-17T14:22:47Z</dcterms:created>
  <dcterms:modified xsi:type="dcterms:W3CDTF">2026-06-18T08:37:41Z</dcterms:modified>
  <cp:category/>
  <cp:contentStatus/>
</cp:coreProperties>
</file>