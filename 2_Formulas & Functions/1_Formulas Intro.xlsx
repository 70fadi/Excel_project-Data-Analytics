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176" documentId="11_0B1D56BE9CDCCE836B02CE7A5FB0D4A9BBFD1C62" xr6:coauthVersionLast="47" xr6:coauthVersionMax="47" xr10:uidLastSave="{A1ECA7D0-54F4-4660-84D8-F149ACD240A4}"/>
  <bookViews>
    <workbookView xWindow="240" yWindow="105" windowWidth="14805" windowHeight="8010" firstSheet="1" activeTab="1" xr2:uid="{00000000-000D-0000-FFFF-FFFF00000000}"/>
  </bookViews>
  <sheets>
    <sheet name="Data" sheetId="1" r:id="rId1"/>
    <sheet name="Math operator " sheetId="2" r:id="rId2"/>
    <sheet name="Comparison operat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3" i="2"/>
  <c r="L3" i="2"/>
  <c r="N3" i="2" s="1"/>
  <c r="O3" i="2" s="1"/>
  <c r="L4" i="2"/>
  <c r="N4" i="2" s="1"/>
  <c r="O4" i="2" s="1"/>
  <c r="L5" i="2"/>
  <c r="N5" i="2" s="1"/>
  <c r="O5" i="2" s="1"/>
  <c r="L6" i="2"/>
  <c r="N6" i="2" s="1"/>
  <c r="O6" i="2" s="1"/>
  <c r="L7" i="2"/>
  <c r="N7" i="2" s="1"/>
  <c r="O7" i="2" s="1"/>
  <c r="L8" i="2"/>
  <c r="N8" i="2" s="1"/>
  <c r="O8" i="2" s="1"/>
  <c r="L9" i="2"/>
  <c r="N9" i="2" s="1"/>
  <c r="O9" i="2" s="1"/>
  <c r="L10" i="2"/>
  <c r="N10" i="2" s="1"/>
  <c r="O10" i="2" s="1"/>
  <c r="L11" i="2"/>
  <c r="N11" i="2" s="1"/>
  <c r="O11" i="2" s="1"/>
  <c r="L12" i="2"/>
  <c r="N12" i="2" s="1"/>
  <c r="O12" i="2" s="1"/>
  <c r="M6" i="2"/>
  <c r="M4" i="2"/>
  <c r="M5" i="2"/>
  <c r="M7" i="2"/>
  <c r="M8" i="2"/>
  <c r="M9" i="2"/>
  <c r="M10" i="2"/>
  <c r="M11" i="2"/>
  <c r="M12" i="2"/>
  <c r="M3" i="2"/>
  <c r="G4" i="2"/>
  <c r="K4" i="2"/>
  <c r="K5" i="2"/>
  <c r="K6" i="2"/>
  <c r="K7" i="2"/>
  <c r="K8" i="2"/>
  <c r="K9" i="2"/>
  <c r="K10" i="2"/>
  <c r="K11" i="2"/>
  <c r="K12" i="2"/>
  <c r="K3" i="2"/>
  <c r="J3" i="2"/>
  <c r="J4" i="2"/>
  <c r="J5" i="2"/>
  <c r="J6" i="2"/>
  <c r="J7" i="2"/>
  <c r="J8" i="2"/>
  <c r="J9" i="2"/>
  <c r="J10" i="2"/>
  <c r="J11" i="2"/>
  <c r="J12" i="2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3" i="2"/>
  <c r="I3" i="2" s="1"/>
  <c r="G11" i="2"/>
  <c r="G12" i="2"/>
  <c r="G5" i="2"/>
  <c r="G6" i="2"/>
  <c r="G7" i="2"/>
  <c r="G8" i="2"/>
  <c r="G9" i="2"/>
  <c r="G10" i="2"/>
  <c r="G3" i="2"/>
  <c r="F4" i="2"/>
  <c r="F5" i="2"/>
  <c r="F6" i="2"/>
  <c r="F7" i="2"/>
  <c r="F8" i="2"/>
  <c r="F9" i="2"/>
  <c r="F10" i="2"/>
  <c r="F11" i="2"/>
  <c r="F12" i="2"/>
  <c r="F3" i="2"/>
</calcChain>
</file>

<file path=xl/sharedStrings.xml><?xml version="1.0" encoding="utf-8"?>
<sst xmlns="http://schemas.openxmlformats.org/spreadsheetml/2006/main" count="85" uniqueCount="55">
  <si>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</si>
  <si>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</si>
  <si>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</si>
  <si>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</si>
  <si>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</si>
  <si>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</si>
  <si>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</si>
  <si>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</si>
  <si>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</si>
  <si>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</si>
  <si>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</si>
  <si>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</si>
  <si>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</si>
  <si>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</si>
  <si>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</si>
  <si>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</si>
  <si>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</si>
  <si>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</si>
  <si>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</si>
  <si>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</si>
  <si>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</si>
  <si>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</si>
  <si>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</si>
  <si>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</si>
  <si>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</si>
  <si>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</si>
  <si>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 </t>
  </si>
  <si>
    <t>Total Salary (&gt;=)</t>
  </si>
  <si>
    <t>Meet both - and()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</si>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</sst>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  <xf numFmtId="0" fontId="1" fillId="0" borderId="9" xfId="0" applyFont="1" applyFill="1" applyBorder="1" applyAlignment="1"/>
    <xf numFmtId="0" fontId="3" fillId="0" borderId="0" xfId="0" applyFont="1" applyFill="1" applyBorder="1" applyAlignment="1"/>
    <xf numFmtId="0" fontId="2" fillId="0" borderId="1" xfId="0" applyFont="1" applyFill="1" applyBorder="1" applyAlignment="1"/>
    <xf numFmtId="0" fontId="1" fillId="0" borderId="3" xfId="0" applyFont="1" applyFill="1" applyBorder="1" applyAlignment="1"/>
    <xf numFmtId="0" fontId="2" fillId="0" borderId="7" xfId="0" applyFont="1" applyFill="1" applyBorder="1" applyAlignment="1"/>
    <xf numFmtId="0" fontId="4" fillId="0" borderId="1" xfId="0" applyFont="1" applyFill="1" applyBorder="1" applyAlignment="1">
      <alignment wrapText="1"/>
    </xf>
    <xf numFmtId="0" fontId="4" fillId="0" borderId="3" xfId="0" applyFont="1" applyFill="1" applyBorder="1" applyAlignment="1"/>
    <xf numFmtId="0" fontId="5" fillId="0" borderId="4" xfId="0" applyFont="1" applyFill="1" applyBorder="1" applyAlignment="1">
      <alignment wrapText="1"/>
    </xf>
    <xf numFmtId="0" fontId="5" fillId="0" borderId="4" xfId="0" quotePrefix="1" applyFont="1" applyFill="1" applyBorder="1" applyAlignment="1">
      <alignment wrapText="1"/>
    </xf>
    <xf numFmtId="0" fontId="5" fillId="0" borderId="6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9" xfId="0" applyFont="1" applyFill="1" applyBorder="1" applyAlignment="1"/>
    <xf numFmtId="164" fontId="1" fillId="0" borderId="0" xfId="0" applyNumberFormat="1" applyFont="1" applyFill="1" applyBorder="1" applyAlignment="1"/>
    <xf numFmtId="0" fontId="4" fillId="0" borderId="10" xfId="0" applyFont="1" applyFill="1" applyBorder="1" applyAlignment="1">
      <alignment wrapText="1"/>
    </xf>
    <xf numFmtId="0" fontId="4" fillId="0" borderId="11" xfId="0" applyFont="1" applyFill="1" applyBorder="1" applyAlignment="1"/>
    <xf numFmtId="0" fontId="5" fillId="0" borderId="12" xfId="0" applyFont="1" applyFill="1" applyBorder="1" applyAlignment="1">
      <alignment wrapText="1"/>
    </xf>
    <xf numFmtId="0" fontId="5" fillId="0" borderId="12" xfId="0" quotePrefix="1" applyFont="1" applyFill="1" applyBorder="1" applyAlignment="1">
      <alignment wrapText="1"/>
    </xf>
    <xf numFmtId="0" fontId="5" fillId="0" borderId="5" xfId="0" applyFont="1" applyFill="1" applyBorder="1" applyAlignment="1"/>
    <xf numFmtId="0" fontId="3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1" fontId="2" fillId="2" borderId="2" xfId="0" applyNumberFormat="1" applyFont="1" applyFill="1" applyBorder="1" applyAlignment="1">
      <alignment wrapText="1"/>
    </xf>
    <xf numFmtId="1" fontId="1" fillId="0" borderId="5" xfId="0" applyNumberFormat="1" applyFont="1" applyFill="1" applyBorder="1" applyAlignment="1"/>
    <xf numFmtId="1" fontId="1" fillId="0" borderId="8" xfId="0" applyNumberFormat="1" applyFont="1" applyFill="1" applyBorder="1" applyAlignment="1"/>
    <xf numFmtId="1" fontId="1" fillId="0" borderId="0" xfId="0" applyNumberFormat="1" applyFont="1" applyFill="1" applyBorder="1" applyAlignment="1"/>
    <xf numFmtId="1" fontId="1" fillId="0" borderId="3" xfId="0" applyNumberFormat="1" applyFont="1" applyFill="1" applyBorder="1" applyAlignment="1">
      <alignment horizontal="right"/>
    </xf>
    <xf numFmtId="1" fontId="1" fillId="0" borderId="9" xfId="0" applyNumberFormat="1" applyFont="1" applyFill="1" applyBorder="1" applyAlignment="1"/>
    <xf numFmtId="1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opLeftCell="A2" workbookViewId="0">
      <selection activeCell="D6" sqref="D6"/>
    </sheetView>
  </sheetViews>
  <sheetFormatPr defaultRowHeight="15"/>
  <cols>
    <col min="2" max="2" width="24.5703125" bestFit="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76.5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</row>
    <row r="3" spans="1:15">
      <c r="A3" s="1"/>
      <c r="B3" s="6" t="s">
        <v>14</v>
      </c>
      <c r="C3" s="7">
        <v>5</v>
      </c>
      <c r="D3" s="7">
        <v>120000</v>
      </c>
      <c r="E3" s="8">
        <v>10000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6" t="s">
        <v>15</v>
      </c>
      <c r="C4" s="7">
        <v>4</v>
      </c>
      <c r="D4" s="7">
        <v>135000</v>
      </c>
      <c r="E4" s="8">
        <v>12000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6" t="s">
        <v>16</v>
      </c>
      <c r="C5" s="7">
        <v>2</v>
      </c>
      <c r="D5" s="7">
        <v>75000</v>
      </c>
      <c r="E5" s="8">
        <v>5000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6" t="s">
        <v>17</v>
      </c>
      <c r="C6" s="7">
        <v>6</v>
      </c>
      <c r="D6" s="7">
        <v>110000</v>
      </c>
      <c r="E6" s="8">
        <v>8000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6" t="s">
        <v>18</v>
      </c>
      <c r="C7" s="7">
        <v>3</v>
      </c>
      <c r="D7" s="7">
        <v>125000</v>
      </c>
      <c r="E7" s="8">
        <v>11000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6" t="s">
        <v>19</v>
      </c>
      <c r="C8" s="7">
        <v>7</v>
      </c>
      <c r="D8" s="7">
        <v>90000</v>
      </c>
      <c r="E8" s="8">
        <v>7000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6" t="s">
        <v>20</v>
      </c>
      <c r="C9" s="7">
        <v>10</v>
      </c>
      <c r="D9" s="7">
        <v>150000</v>
      </c>
      <c r="E9" s="8">
        <v>15000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6" t="s">
        <v>21</v>
      </c>
      <c r="C10" s="7">
        <v>8</v>
      </c>
      <c r="D10" s="7">
        <v>130000</v>
      </c>
      <c r="E10" s="8">
        <v>13000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6" t="s">
        <v>22</v>
      </c>
      <c r="C11" s="7">
        <v>3</v>
      </c>
      <c r="D11" s="7">
        <v>140000</v>
      </c>
      <c r="E11" s="8">
        <v>14000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9" t="s">
        <v>23</v>
      </c>
      <c r="C12" s="10">
        <v>5</v>
      </c>
      <c r="D12" s="10">
        <v>115000</v>
      </c>
      <c r="E12" s="11">
        <v>9000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2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3" t="s">
        <v>25</v>
      </c>
      <c r="C15" s="14" t="s">
        <v>26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5" t="s">
        <v>27</v>
      </c>
      <c r="C16" s="11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C26A-9053-45D8-B310-4038B09807F7}">
  <dimension ref="B2:S17"/>
  <sheetViews>
    <sheetView tabSelected="1" topLeftCell="C1" workbookViewId="0">
      <selection activeCell="P3" sqref="P3:P12"/>
    </sheetView>
  </sheetViews>
  <sheetFormatPr defaultRowHeight="15"/>
  <cols>
    <col min="1" max="1" width="24.5703125" bestFit="1" customWidth="1"/>
    <col min="2" max="2" width="26.85546875" customWidth="1"/>
    <col min="3" max="3" width="16.42578125" style="38" customWidth="1"/>
    <col min="4" max="4" width="15.85546875" customWidth="1"/>
    <col min="5" max="5" width="11.7109375" customWidth="1"/>
    <col min="6" max="6" width="10.42578125" hidden="1" customWidth="1"/>
    <col min="8" max="8" width="9.140625" customWidth="1"/>
    <col min="9" max="9" width="10" customWidth="1"/>
    <col min="10" max="10" width="18.42578125" customWidth="1"/>
    <col min="11" max="11" width="13.85546875" customWidth="1"/>
    <col min="12" max="12" width="12.28515625" customWidth="1"/>
    <col min="13" max="13" width="14.140625" customWidth="1"/>
    <col min="14" max="14" width="10.7109375" customWidth="1"/>
    <col min="16" max="16" width="16.5703125" customWidth="1"/>
    <col min="17" max="17" width="13.7109375" bestFit="1" customWidth="1"/>
    <col min="19" max="19" width="13.7109375" bestFit="1" customWidth="1"/>
  </cols>
  <sheetData>
    <row r="2" spans="2:19" ht="45.75">
      <c r="B2" s="2" t="s">
        <v>0</v>
      </c>
      <c r="C2" s="32" t="s">
        <v>1</v>
      </c>
      <c r="D2" s="3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39" t="s">
        <v>28</v>
      </c>
    </row>
    <row r="3" spans="2:19">
      <c r="B3" s="6" t="s">
        <v>14</v>
      </c>
      <c r="C3" s="33">
        <v>5</v>
      </c>
      <c r="D3" s="7">
        <v>120000</v>
      </c>
      <c r="E3" s="8">
        <v>10000</v>
      </c>
      <c r="F3" s="1">
        <f>C3</f>
        <v>5</v>
      </c>
      <c r="G3" s="1">
        <f>D3+E3</f>
        <v>130000</v>
      </c>
      <c r="H3" s="23">
        <f>E3/D3</f>
        <v>8.3333333333333329E-2</v>
      </c>
      <c r="I3" s="1">
        <f>(H3*D3)+D3</f>
        <v>130000</v>
      </c>
      <c r="J3" s="1" t="b">
        <f>G3=I3</f>
        <v>1</v>
      </c>
      <c r="K3" s="1" t="b">
        <f>E3&gt;D3</f>
        <v>0</v>
      </c>
      <c r="L3" s="1" t="b">
        <f>$C$16&gt;=C3</f>
        <v>1</v>
      </c>
      <c r="M3" s="1" t="b">
        <f>G3&gt;=$C$17</f>
        <v>1</v>
      </c>
      <c r="N3" s="1">
        <f>L3*M3</f>
        <v>1</v>
      </c>
      <c r="O3" s="1" t="b">
        <f>N3=1</f>
        <v>1</v>
      </c>
      <c r="P3" t="b">
        <f>AND(L3,M3)</f>
        <v>1</v>
      </c>
      <c r="R3" s="16" t="s">
        <v>29</v>
      </c>
      <c r="S3" s="17" t="s">
        <v>30</v>
      </c>
    </row>
    <row r="4" spans="2:19">
      <c r="B4" s="6" t="s">
        <v>15</v>
      </c>
      <c r="C4" s="33">
        <v>4</v>
      </c>
      <c r="D4" s="7">
        <v>135000</v>
      </c>
      <c r="E4" s="8">
        <v>12000</v>
      </c>
      <c r="F4" s="1">
        <f t="shared" ref="F4:F12" si="0">C4</f>
        <v>4</v>
      </c>
      <c r="G4" s="1">
        <f>D4+E4</f>
        <v>147000</v>
      </c>
      <c r="H4" s="23">
        <f t="shared" ref="H4:H12" si="1">E4/D4</f>
        <v>8.8888888888888892E-2</v>
      </c>
      <c r="I4" s="1">
        <f t="shared" ref="I4:I12" si="2">(H4*D4)+D4</f>
        <v>147000</v>
      </c>
      <c r="J4" s="1" t="b">
        <f t="shared" ref="J4:J12" si="3">G4=I4</f>
        <v>1</v>
      </c>
      <c r="K4" s="1" t="b">
        <f t="shared" ref="K4:K12" si="4">E4&gt;D4</f>
        <v>0</v>
      </c>
      <c r="L4" s="1" t="b">
        <f>$C$16&gt;=C4</f>
        <v>1</v>
      </c>
      <c r="M4" s="1" t="b">
        <f t="shared" ref="M4:M12" si="5">G4&gt;=$C$17</f>
        <v>1</v>
      </c>
      <c r="N4" s="1">
        <f t="shared" ref="N4:N12" si="6">L4*M4</f>
        <v>1</v>
      </c>
      <c r="O4" s="1" t="b">
        <f t="shared" ref="O4:O14" si="7">N4=1</f>
        <v>1</v>
      </c>
      <c r="P4" t="b">
        <f t="shared" ref="P4:P12" si="8">AND(L4,M4)</f>
        <v>1</v>
      </c>
      <c r="R4" s="19" t="s">
        <v>31</v>
      </c>
      <c r="S4" s="20" t="s">
        <v>32</v>
      </c>
    </row>
    <row r="5" spans="2:19">
      <c r="B5" s="6" t="s">
        <v>16</v>
      </c>
      <c r="C5" s="33">
        <v>2</v>
      </c>
      <c r="D5" s="7">
        <v>75000</v>
      </c>
      <c r="E5" s="8">
        <v>5000</v>
      </c>
      <c r="F5" s="1">
        <f t="shared" si="0"/>
        <v>2</v>
      </c>
      <c r="G5" s="1">
        <f t="shared" ref="G4:G12" si="9">D5+E5</f>
        <v>80000</v>
      </c>
      <c r="H5" s="23">
        <f t="shared" si="1"/>
        <v>6.6666666666666666E-2</v>
      </c>
      <c r="I5" s="1">
        <f t="shared" si="2"/>
        <v>80000</v>
      </c>
      <c r="J5" s="1" t="b">
        <f t="shared" si="3"/>
        <v>1</v>
      </c>
      <c r="K5" s="1" t="b">
        <f t="shared" si="4"/>
        <v>0</v>
      </c>
      <c r="L5" s="1" t="b">
        <f t="shared" ref="L4:L12" si="10">$C$16&gt;=C5</f>
        <v>1</v>
      </c>
      <c r="M5" s="1" t="b">
        <f t="shared" si="5"/>
        <v>0</v>
      </c>
      <c r="N5" s="1">
        <f t="shared" si="6"/>
        <v>0</v>
      </c>
      <c r="O5" s="1" t="b">
        <f t="shared" si="7"/>
        <v>0</v>
      </c>
      <c r="P5" t="b">
        <f t="shared" si="8"/>
        <v>0</v>
      </c>
      <c r="R5" s="19" t="s">
        <v>33</v>
      </c>
      <c r="S5" s="20" t="s">
        <v>34</v>
      </c>
    </row>
    <row r="6" spans="2:19">
      <c r="B6" s="6" t="s">
        <v>17</v>
      </c>
      <c r="C6" s="33">
        <v>6</v>
      </c>
      <c r="D6" s="7">
        <v>110000</v>
      </c>
      <c r="E6" s="8">
        <v>8000</v>
      </c>
      <c r="F6" s="1">
        <f t="shared" si="0"/>
        <v>6</v>
      </c>
      <c r="G6" s="1">
        <f t="shared" si="9"/>
        <v>118000</v>
      </c>
      <c r="H6" s="23">
        <f t="shared" si="1"/>
        <v>7.2727272727272724E-2</v>
      </c>
      <c r="I6" s="1">
        <f t="shared" si="2"/>
        <v>118000</v>
      </c>
      <c r="J6" s="1" t="b">
        <f t="shared" si="3"/>
        <v>1</v>
      </c>
      <c r="K6" s="1" t="b">
        <f t="shared" si="4"/>
        <v>0</v>
      </c>
      <c r="L6" s="1" t="b">
        <f t="shared" si="10"/>
        <v>0</v>
      </c>
      <c r="M6" s="1" t="b">
        <f>G6&gt;=$C$17</f>
        <v>1</v>
      </c>
      <c r="N6" s="1">
        <f t="shared" si="6"/>
        <v>0</v>
      </c>
      <c r="O6" s="1" t="b">
        <f t="shared" si="7"/>
        <v>0</v>
      </c>
      <c r="P6" t="b">
        <f t="shared" si="8"/>
        <v>0</v>
      </c>
      <c r="R6" s="18" t="s">
        <v>35</v>
      </c>
      <c r="S6" s="20" t="s">
        <v>36</v>
      </c>
    </row>
    <row r="7" spans="2:19">
      <c r="B7" s="6" t="s">
        <v>18</v>
      </c>
      <c r="C7" s="33">
        <v>3</v>
      </c>
      <c r="D7" s="7">
        <v>125000</v>
      </c>
      <c r="E7" s="8">
        <v>11000</v>
      </c>
      <c r="F7" s="1">
        <f t="shared" si="0"/>
        <v>3</v>
      </c>
      <c r="G7" s="1">
        <f t="shared" si="9"/>
        <v>136000</v>
      </c>
      <c r="H7" s="23">
        <f t="shared" si="1"/>
        <v>8.7999999999999995E-2</v>
      </c>
      <c r="I7" s="1">
        <f t="shared" si="2"/>
        <v>136000</v>
      </c>
      <c r="J7" s="1" t="b">
        <f t="shared" si="3"/>
        <v>1</v>
      </c>
      <c r="K7" s="1" t="b">
        <f t="shared" si="4"/>
        <v>0</v>
      </c>
      <c r="L7" s="1" t="b">
        <f t="shared" si="10"/>
        <v>1</v>
      </c>
      <c r="M7" s="1" t="b">
        <f t="shared" si="5"/>
        <v>1</v>
      </c>
      <c r="N7" s="1">
        <f t="shared" si="6"/>
        <v>1</v>
      </c>
      <c r="O7" s="1" t="b">
        <f t="shared" si="7"/>
        <v>1</v>
      </c>
      <c r="P7" t="b">
        <f t="shared" si="8"/>
        <v>1</v>
      </c>
      <c r="R7" s="18" t="s">
        <v>37</v>
      </c>
      <c r="S7" s="20" t="s">
        <v>38</v>
      </c>
    </row>
    <row r="8" spans="2:19">
      <c r="B8" s="6" t="s">
        <v>19</v>
      </c>
      <c r="C8" s="33">
        <v>7</v>
      </c>
      <c r="D8" s="7">
        <v>90000</v>
      </c>
      <c r="E8" s="8">
        <v>7000</v>
      </c>
      <c r="F8" s="1">
        <f t="shared" si="0"/>
        <v>7</v>
      </c>
      <c r="G8" s="1">
        <f t="shared" si="9"/>
        <v>97000</v>
      </c>
      <c r="H8" s="23">
        <f t="shared" si="1"/>
        <v>7.7777777777777779E-2</v>
      </c>
      <c r="I8" s="1">
        <f t="shared" si="2"/>
        <v>97000</v>
      </c>
      <c r="J8" s="1" t="b">
        <f t="shared" si="3"/>
        <v>1</v>
      </c>
      <c r="K8" s="1" t="b">
        <f t="shared" si="4"/>
        <v>0</v>
      </c>
      <c r="L8" s="1" t="b">
        <f t="shared" si="10"/>
        <v>0</v>
      </c>
      <c r="M8" s="1" t="b">
        <f t="shared" si="5"/>
        <v>1</v>
      </c>
      <c r="N8" s="1">
        <f t="shared" si="6"/>
        <v>0</v>
      </c>
      <c r="O8" s="1" t="b">
        <f t="shared" si="7"/>
        <v>0</v>
      </c>
      <c r="P8" t="b">
        <f t="shared" si="8"/>
        <v>0</v>
      </c>
      <c r="R8" s="18" t="s">
        <v>39</v>
      </c>
      <c r="S8" s="20" t="s">
        <v>40</v>
      </c>
    </row>
    <row r="9" spans="2:19">
      <c r="B9" s="6" t="s">
        <v>20</v>
      </c>
      <c r="C9" s="33">
        <v>10</v>
      </c>
      <c r="D9" s="7">
        <v>150000</v>
      </c>
      <c r="E9" s="8">
        <v>15000</v>
      </c>
      <c r="F9" s="1">
        <f t="shared" si="0"/>
        <v>10</v>
      </c>
      <c r="G9" s="1">
        <f t="shared" si="9"/>
        <v>165000</v>
      </c>
      <c r="H9" s="23">
        <f t="shared" si="1"/>
        <v>0.1</v>
      </c>
      <c r="I9" s="1">
        <f t="shared" si="2"/>
        <v>165000</v>
      </c>
      <c r="J9" s="1" t="b">
        <f t="shared" si="3"/>
        <v>1</v>
      </c>
      <c r="K9" s="1" t="b">
        <f t="shared" si="4"/>
        <v>0</v>
      </c>
      <c r="L9" s="1" t="b">
        <f t="shared" si="10"/>
        <v>0</v>
      </c>
      <c r="M9" s="1" t="b">
        <f t="shared" si="5"/>
        <v>1</v>
      </c>
      <c r="N9" s="1">
        <f t="shared" si="6"/>
        <v>0</v>
      </c>
      <c r="O9" s="1" t="b">
        <f t="shared" si="7"/>
        <v>0</v>
      </c>
      <c r="P9" t="b">
        <f t="shared" si="8"/>
        <v>0</v>
      </c>
      <c r="R9" s="21" t="s">
        <v>41</v>
      </c>
      <c r="S9" s="22" t="s">
        <v>42</v>
      </c>
    </row>
    <row r="10" spans="2:19">
      <c r="B10" s="6" t="s">
        <v>21</v>
      </c>
      <c r="C10" s="33">
        <v>8</v>
      </c>
      <c r="D10" s="7">
        <v>130000</v>
      </c>
      <c r="E10" s="8">
        <v>13000</v>
      </c>
      <c r="F10" s="1">
        <f t="shared" si="0"/>
        <v>8</v>
      </c>
      <c r="G10" s="1">
        <f t="shared" si="9"/>
        <v>143000</v>
      </c>
      <c r="H10" s="23">
        <f t="shared" si="1"/>
        <v>0.1</v>
      </c>
      <c r="I10" s="1">
        <f t="shared" si="2"/>
        <v>143000</v>
      </c>
      <c r="J10" s="1" t="b">
        <f t="shared" si="3"/>
        <v>1</v>
      </c>
      <c r="K10" s="1" t="b">
        <f t="shared" si="4"/>
        <v>0</v>
      </c>
      <c r="L10" s="1" t="b">
        <f t="shared" si="10"/>
        <v>0</v>
      </c>
      <c r="M10" s="1" t="b">
        <f t="shared" si="5"/>
        <v>1</v>
      </c>
      <c r="N10" s="1">
        <f t="shared" si="6"/>
        <v>0</v>
      </c>
      <c r="O10" s="1" t="b">
        <f t="shared" si="7"/>
        <v>0</v>
      </c>
      <c r="P10" t="b">
        <f t="shared" si="8"/>
        <v>0</v>
      </c>
    </row>
    <row r="11" spans="2:19">
      <c r="B11" s="6" t="s">
        <v>22</v>
      </c>
      <c r="C11" s="33">
        <v>3</v>
      </c>
      <c r="D11" s="7">
        <v>140000</v>
      </c>
      <c r="E11" s="8">
        <v>14000</v>
      </c>
      <c r="F11" s="1">
        <f t="shared" si="0"/>
        <v>3</v>
      </c>
      <c r="G11" s="1">
        <f>D11+E11</f>
        <v>154000</v>
      </c>
      <c r="H11" s="23">
        <f t="shared" si="1"/>
        <v>0.1</v>
      </c>
      <c r="I11" s="1">
        <f t="shared" si="2"/>
        <v>154000</v>
      </c>
      <c r="J11" s="1" t="b">
        <f t="shared" si="3"/>
        <v>1</v>
      </c>
      <c r="K11" s="1" t="b">
        <f t="shared" si="4"/>
        <v>0</v>
      </c>
      <c r="L11" s="1" t="b">
        <f t="shared" si="10"/>
        <v>1</v>
      </c>
      <c r="M11" s="1" t="b">
        <f t="shared" si="5"/>
        <v>1</v>
      </c>
      <c r="N11" s="1">
        <f t="shared" si="6"/>
        <v>1</v>
      </c>
      <c r="O11" s="1" t="b">
        <f t="shared" si="7"/>
        <v>1</v>
      </c>
      <c r="P11" t="b">
        <f t="shared" si="8"/>
        <v>1</v>
      </c>
    </row>
    <row r="12" spans="2:19">
      <c r="B12" s="9" t="s">
        <v>23</v>
      </c>
      <c r="C12" s="34">
        <v>5</v>
      </c>
      <c r="D12" s="10">
        <v>115000</v>
      </c>
      <c r="E12" s="11">
        <v>9000</v>
      </c>
      <c r="F12" s="1">
        <f t="shared" si="0"/>
        <v>5</v>
      </c>
      <c r="G12" s="1">
        <f t="shared" si="9"/>
        <v>124000</v>
      </c>
      <c r="H12" s="23">
        <f t="shared" si="1"/>
        <v>7.8260869565217397E-2</v>
      </c>
      <c r="I12" s="1">
        <f t="shared" si="2"/>
        <v>124000</v>
      </c>
      <c r="J12" s="1" t="b">
        <f t="shared" si="3"/>
        <v>1</v>
      </c>
      <c r="K12" s="1" t="b">
        <f t="shared" si="4"/>
        <v>0</v>
      </c>
      <c r="L12" s="1" t="b">
        <f t="shared" si="10"/>
        <v>1</v>
      </c>
      <c r="M12" s="1" t="b">
        <f t="shared" si="5"/>
        <v>1</v>
      </c>
      <c r="N12" s="1">
        <f t="shared" si="6"/>
        <v>1</v>
      </c>
      <c r="O12" s="1" t="b">
        <f t="shared" si="7"/>
        <v>1</v>
      </c>
      <c r="P12" t="b">
        <f t="shared" si="8"/>
        <v>1</v>
      </c>
    </row>
    <row r="13" spans="2:19">
      <c r="O13" s="1"/>
    </row>
    <row r="14" spans="2:19">
      <c r="O14" s="1"/>
    </row>
    <row r="15" spans="2:19">
      <c r="B15" s="29" t="s">
        <v>24</v>
      </c>
      <c r="C15" s="35"/>
    </row>
    <row r="16" spans="2:19">
      <c r="B16" s="30" t="s">
        <v>25</v>
      </c>
      <c r="C16" s="36">
        <v>5</v>
      </c>
    </row>
    <row r="17" spans="2:3">
      <c r="B17" s="31" t="s">
        <v>27</v>
      </c>
      <c r="C17" s="37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DD7D-A549-43B1-B99E-E33929FAB7DF}">
  <dimension ref="C6:D12"/>
  <sheetViews>
    <sheetView workbookViewId="0">
      <selection activeCell="E7" sqref="E7"/>
    </sheetView>
  </sheetViews>
  <sheetFormatPr defaultRowHeight="15"/>
  <cols>
    <col min="4" max="4" width="21" bestFit="1" customWidth="1"/>
  </cols>
  <sheetData>
    <row r="6" spans="3:4">
      <c r="C6" s="24" t="s">
        <v>29</v>
      </c>
      <c r="D6" s="25" t="s">
        <v>30</v>
      </c>
    </row>
    <row r="7" spans="3:4">
      <c r="C7" s="27" t="s">
        <v>43</v>
      </c>
      <c r="D7" s="28" t="s">
        <v>44</v>
      </c>
    </row>
    <row r="8" spans="3:4">
      <c r="C8" s="26" t="s">
        <v>45</v>
      </c>
      <c r="D8" s="28" t="s">
        <v>46</v>
      </c>
    </row>
    <row r="9" spans="3:4">
      <c r="C9" s="26" t="s">
        <v>47</v>
      </c>
      <c r="D9" s="28" t="s">
        <v>48</v>
      </c>
    </row>
    <row r="10" spans="3:4">
      <c r="C10" s="26" t="s">
        <v>49</v>
      </c>
      <c r="D10" s="28" t="s">
        <v>50</v>
      </c>
    </row>
    <row r="11" spans="3:4">
      <c r="C11" s="26" t="s">
        <v>51</v>
      </c>
      <c r="D11" s="28" t="s">
        <v>52</v>
      </c>
    </row>
    <row r="12" spans="3:4">
      <c r="C12" s="26" t="s">
        <v>53</v>
      </c>
      <c r="D12" s="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2026-06-03T09:46:27Z</dcterms:created>
  <dcterms:modified xsi:type="dcterms:W3CDTF">2026-06-04T14:14:57Z</dcterms:modified>
  <cp:category/>
  <cp:contentStatus/>
</cp:coreProperties>
</file>