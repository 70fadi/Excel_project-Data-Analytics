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/>
  <xr:revisionPtr revIDLastSave="56" documentId="11_0B1D56BE9CDCCE836B02CE7A5FB0D4A9BBFD1C62" xr6:coauthVersionLast="47" xr6:coauthVersionMax="47" xr10:uidLastSave="{B73E2881-0A79-4319-ADFF-008F0402F2A0}"/>
  <bookViews>
    <workbookView xWindow="240" yWindow="105" windowWidth="14805" windowHeight="801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C17" i="1"/>
  <c r="D17" i="1"/>
  <c r="D16" i="1"/>
  <c r="C16" i="1"/>
  <c r="D15" i="1"/>
  <c r="E15" i="1"/>
  <c r="C15" i="1"/>
  <c r="G4" i="1"/>
  <c r="G5" i="1"/>
  <c r="G6" i="1"/>
  <c r="G7" i="1"/>
  <c r="G8" i="1"/>
  <c r="G9" i="1"/>
  <c r="G10" i="1"/>
  <c r="G11" i="1"/>
  <c r="G12" i="1"/>
  <c r="G3" i="1"/>
  <c r="D14" i="1"/>
  <c r="E14" i="1"/>
  <c r="C14" i="1"/>
  <c r="D13" i="1"/>
  <c r="E13" i="1"/>
  <c r="C13" i="1"/>
</calcChain>
</file>

<file path=xl/sharedStrings.xml><?xml version="1.0" encoding="utf-8"?>
<sst xmlns="http://schemas.openxmlformats.org/spreadsheetml/2006/main" count="25" uniqueCount="24">
  <si>
    <t>Job Title</t>
  </si>
  <si>
    <t xml:space="preserve"> Experience (Years)</t>
  </si>
  <si>
    <t>Annual Salary ($USD)</t>
  </si>
  <si>
    <t>Bonus Max ($USD)</t>
  </si>
  <si>
    <t>Meets Both - Formula Only</t>
  </si>
  <si>
    <t>Meets Both - AND()</t>
  </si>
  <si>
    <t>Job Goals:</t>
  </si>
  <si>
    <t>Data Scientist</t>
  </si>
  <si>
    <t>Experience (&lt;=)</t>
  </si>
  <si>
    <t>Machine Learning Engineer</t>
  </si>
  <si>
    <t>Total Salary (&gt;=)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</si>
  <si>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</si>
  <si>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</si>
  <si>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</si>
  <si>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</si>
  <si>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</si>
  <si>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</si>
  <si>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</si>
  <si>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</si>
  <si>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Average (by Cell)</t>
  </si>
  <si>
    <t>Average (AVERAGE())</t>
  </si>
  <si>
    <t>Total Count</t>
  </si>
  <si>
    <t>Meets Goals Count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</si>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</sst>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u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0" borderId="4" xfId="0" applyFont="1" applyFill="1" applyBorder="1" applyAlignment="1">
      <alignment wrapText="1"/>
    </xf>
    <xf numFmtId="0" fontId="3" fillId="0" borderId="0" xfId="0" applyFont="1" applyFill="1" applyBorder="1" applyAlignment="1"/>
    <xf numFmtId="0" fontId="1" fillId="0" borderId="5" xfId="0" applyFont="1" applyFill="1" applyBorder="1" applyAlignment="1"/>
    <xf numFmtId="0" fontId="1" fillId="0" borderId="6" xfId="0" applyFont="1" applyFill="1" applyBorder="1" applyAlignment="1"/>
    <xf numFmtId="0" fontId="1" fillId="0" borderId="7" xfId="0" applyFont="1" applyFill="1" applyBorder="1" applyAlignment="1"/>
    <xf numFmtId="0" fontId="1" fillId="0" borderId="8" xfId="0" applyFont="1" applyFill="1" applyBorder="1" applyAlignment="1"/>
    <xf numFmtId="0" fontId="2" fillId="0" borderId="1" xfId="0" applyFont="1" applyFill="1" applyBorder="1" applyAlignment="1"/>
    <xf numFmtId="0" fontId="1" fillId="0" borderId="3" xfId="0" applyFont="1" applyFill="1" applyBorder="1" applyAlignment="1"/>
    <xf numFmtId="0" fontId="2" fillId="0" borderId="9" xfId="0" applyFont="1" applyFill="1" applyBorder="1" applyAlignment="1"/>
    <xf numFmtId="0" fontId="1" fillId="0" borderId="10" xfId="0" applyFont="1" applyFill="1" applyBorder="1" applyAlignment="1"/>
    <xf numFmtId="0" fontId="1" fillId="0" borderId="11" xfId="0" applyFont="1" applyFill="1" applyBorder="1" applyAlignment="1"/>
    <xf numFmtId="0" fontId="1" fillId="0" borderId="12" xfId="0" applyFont="1" applyFill="1" applyBorder="1" applyAlignment="1"/>
    <xf numFmtId="0" fontId="1" fillId="0" borderId="13" xfId="0" applyFont="1" applyFill="1" applyBorder="1" applyAlignment="1"/>
    <xf numFmtId="0" fontId="2" fillId="0" borderId="5" xfId="0" applyFont="1" applyFill="1" applyBorder="1" applyAlignment="1"/>
    <xf numFmtId="0" fontId="2" fillId="0" borderId="11" xfId="0" applyFont="1" applyFill="1" applyBorder="1" applyAlignment="1"/>
    <xf numFmtId="0" fontId="1" fillId="3" borderId="1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topLeftCell="B1" workbookViewId="0">
      <selection activeCell="I15" sqref="I15"/>
    </sheetView>
  </sheetViews>
  <sheetFormatPr defaultRowHeight="15"/>
  <cols>
    <col min="2" max="2" width="24.5703125" bestFit="1" customWidth="1"/>
    <col min="3" max="3" width="22" bestFit="1" customWidth="1"/>
    <col min="6" max="6" width="12" customWidth="1"/>
    <col min="7" max="7" width="13.7109375" customWidth="1"/>
    <col min="9" max="9" width="15.28515625" bestFit="1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60.75">
      <c r="A2" s="2"/>
      <c r="B2" s="3" t="s">
        <v>0</v>
      </c>
      <c r="C2" s="4" t="s">
        <v>1</v>
      </c>
      <c r="D2" s="4" t="s">
        <v>2</v>
      </c>
      <c r="E2" s="5" t="s">
        <v>3</v>
      </c>
      <c r="F2" s="6" t="s">
        <v>4</v>
      </c>
      <c r="G2" s="6" t="s">
        <v>5</v>
      </c>
      <c r="H2" s="2"/>
      <c r="I2" s="7" t="s">
        <v>6</v>
      </c>
      <c r="J2" s="1"/>
    </row>
    <row r="3" spans="1:10">
      <c r="A3" s="1"/>
      <c r="B3" s="8" t="s">
        <v>7</v>
      </c>
      <c r="C3" s="9">
        <v>5</v>
      </c>
      <c r="D3" s="9">
        <v>120000</v>
      </c>
      <c r="E3" s="10">
        <v>10000</v>
      </c>
      <c r="F3" s="11" t="b">
        <v>1</v>
      </c>
      <c r="G3" s="11" t="b">
        <f>AND(F3)</f>
        <v>1</v>
      </c>
      <c r="H3" s="1"/>
      <c r="I3" s="12" t="s">
        <v>8</v>
      </c>
      <c r="J3" s="13">
        <v>5</v>
      </c>
    </row>
    <row r="4" spans="1:10">
      <c r="A4" s="1"/>
      <c r="B4" s="8" t="s">
        <v>9</v>
      </c>
      <c r="C4" s="9">
        <v>4</v>
      </c>
      <c r="D4" s="9">
        <v>135000</v>
      </c>
      <c r="E4" s="10">
        <v>12000</v>
      </c>
      <c r="F4" s="11" t="b">
        <v>0</v>
      </c>
      <c r="G4" s="11" t="b">
        <f t="shared" ref="G4:G12" si="0">AND(F4)</f>
        <v>0</v>
      </c>
      <c r="H4" s="1"/>
      <c r="I4" s="14" t="s">
        <v>10</v>
      </c>
      <c r="J4" s="15">
        <v>90000</v>
      </c>
    </row>
    <row r="5" spans="1:10">
      <c r="A5" s="1"/>
      <c r="B5" s="8" t="s">
        <v>11</v>
      </c>
      <c r="C5" s="9">
        <v>2</v>
      </c>
      <c r="D5" s="9">
        <v>75000</v>
      </c>
      <c r="E5" s="10">
        <v>5000</v>
      </c>
      <c r="F5" s="11" t="b">
        <v>0</v>
      </c>
      <c r="G5" s="11" t="b">
        <f t="shared" si="0"/>
        <v>0</v>
      </c>
      <c r="H5" s="1"/>
      <c r="I5" s="1"/>
      <c r="J5" s="1"/>
    </row>
    <row r="6" spans="1:10">
      <c r="A6" s="1"/>
      <c r="B6" s="8" t="s">
        <v>12</v>
      </c>
      <c r="C6" s="9">
        <v>6</v>
      </c>
      <c r="D6" s="9">
        <v>110000</v>
      </c>
      <c r="E6" s="10">
        <v>8000</v>
      </c>
      <c r="F6" s="11" t="b">
        <v>1</v>
      </c>
      <c r="G6" s="11" t="b">
        <f t="shared" si="0"/>
        <v>1</v>
      </c>
      <c r="H6" s="1"/>
      <c r="I6" s="1"/>
      <c r="J6" s="1"/>
    </row>
    <row r="7" spans="1:10">
      <c r="A7" s="1"/>
      <c r="B7" s="8" t="s">
        <v>13</v>
      </c>
      <c r="C7" s="9">
        <v>3</v>
      </c>
      <c r="D7" s="9">
        <v>125000</v>
      </c>
      <c r="E7" s="10">
        <v>11000</v>
      </c>
      <c r="F7" s="11" t="b">
        <v>0</v>
      </c>
      <c r="G7" s="11" t="b">
        <f t="shared" si="0"/>
        <v>0</v>
      </c>
      <c r="H7" s="1"/>
      <c r="I7" s="1"/>
      <c r="J7" s="1"/>
    </row>
    <row r="8" spans="1:10">
      <c r="A8" s="1"/>
      <c r="B8" s="8" t="s">
        <v>14</v>
      </c>
      <c r="C8" s="9">
        <v>7</v>
      </c>
      <c r="D8" s="9">
        <v>90000</v>
      </c>
      <c r="E8" s="10">
        <v>7000</v>
      </c>
      <c r="F8" s="11" t="b">
        <v>1</v>
      </c>
      <c r="G8" s="11" t="b">
        <f t="shared" si="0"/>
        <v>1</v>
      </c>
      <c r="H8" s="1"/>
      <c r="I8" s="1"/>
      <c r="J8" s="1"/>
    </row>
    <row r="9" spans="1:10">
      <c r="A9" s="1"/>
      <c r="B9" s="8" t="s">
        <v>15</v>
      </c>
      <c r="C9" s="9">
        <v>10</v>
      </c>
      <c r="D9" s="9">
        <v>150000</v>
      </c>
      <c r="E9" s="10">
        <v>15000</v>
      </c>
      <c r="F9" s="11" t="b">
        <v>1</v>
      </c>
      <c r="G9" s="11" t="b">
        <f t="shared" si="0"/>
        <v>1</v>
      </c>
      <c r="H9" s="1"/>
      <c r="I9" s="1"/>
      <c r="J9" s="1"/>
    </row>
    <row r="10" spans="1:10">
      <c r="A10" s="1"/>
      <c r="B10" s="8" t="s">
        <v>16</v>
      </c>
      <c r="C10" s="9">
        <v>8</v>
      </c>
      <c r="D10" s="9">
        <v>130000</v>
      </c>
      <c r="E10" s="10">
        <v>13000</v>
      </c>
      <c r="F10" s="11" t="b">
        <v>1</v>
      </c>
      <c r="G10" s="11" t="b">
        <f t="shared" si="0"/>
        <v>1</v>
      </c>
      <c r="H10" s="1"/>
      <c r="I10" s="1"/>
      <c r="J10" s="1"/>
    </row>
    <row r="11" spans="1:10">
      <c r="A11" s="1"/>
      <c r="B11" s="8" t="s">
        <v>17</v>
      </c>
      <c r="C11" s="9">
        <v>3</v>
      </c>
      <c r="D11" s="9">
        <v>140000</v>
      </c>
      <c r="E11" s="10">
        <v>14000</v>
      </c>
      <c r="F11" s="11" t="b">
        <v>0</v>
      </c>
      <c r="G11" s="11" t="b">
        <f t="shared" si="0"/>
        <v>0</v>
      </c>
      <c r="H11" s="1"/>
      <c r="I11" s="1"/>
      <c r="J11" s="1"/>
    </row>
    <row r="12" spans="1:10">
      <c r="A12" s="1"/>
      <c r="B12" s="16" t="s">
        <v>18</v>
      </c>
      <c r="C12" s="17">
        <v>5</v>
      </c>
      <c r="D12" s="17">
        <v>115000</v>
      </c>
      <c r="E12" s="18">
        <v>9000</v>
      </c>
      <c r="F12" s="11" t="b">
        <v>1</v>
      </c>
      <c r="G12" s="11" t="b">
        <f t="shared" si="0"/>
        <v>1</v>
      </c>
      <c r="H12" s="1"/>
      <c r="I12" s="1"/>
      <c r="J12" s="1"/>
    </row>
    <row r="13" spans="1:10">
      <c r="A13" s="1"/>
      <c r="B13" s="19" t="s">
        <v>19</v>
      </c>
      <c r="C13" s="9">
        <f>(C3+C4+C5+C6+C7+C8+C9+C10+C11+C12)/10</f>
        <v>5.3</v>
      </c>
      <c r="D13" s="9">
        <f t="shared" ref="D13:E13" si="1">(D3+D4+D5+D6+D7+D8+D9+D10+D11+D12)/10</f>
        <v>119000</v>
      </c>
      <c r="E13" s="9">
        <f t="shared" si="1"/>
        <v>10400</v>
      </c>
      <c r="F13" s="1"/>
      <c r="G13" s="1"/>
      <c r="H13" s="1"/>
      <c r="I13" s="1"/>
      <c r="J13" s="1"/>
    </row>
    <row r="14" spans="1:10">
      <c r="A14" s="1"/>
      <c r="B14" s="20" t="s">
        <v>20</v>
      </c>
      <c r="C14" s="17">
        <f>AVERAGE(C3:C12)</f>
        <v>5.3</v>
      </c>
      <c r="D14" s="17">
        <f t="shared" ref="D14:E14" si="2">AVERAGE(D3:D12)</f>
        <v>119000</v>
      </c>
      <c r="E14" s="17">
        <f t="shared" si="2"/>
        <v>10400</v>
      </c>
      <c r="F14" s="1"/>
      <c r="G14" s="1"/>
      <c r="H14" s="1"/>
      <c r="I14" s="1"/>
      <c r="J14" s="1"/>
    </row>
    <row r="15" spans="1:10">
      <c r="A15" s="1"/>
      <c r="B15" s="19" t="s">
        <v>21</v>
      </c>
      <c r="C15" s="9">
        <f>COUNT(C3:C12)</f>
        <v>10</v>
      </c>
      <c r="D15" s="9">
        <f t="shared" ref="D15:E15" si="3">COUNT(D3:D12)</f>
        <v>10</v>
      </c>
      <c r="E15" s="9">
        <f t="shared" si="3"/>
        <v>10</v>
      </c>
      <c r="F15" s="1"/>
      <c r="G15" s="1"/>
      <c r="H15" s="1"/>
      <c r="I15" s="1"/>
      <c r="J15" s="1"/>
    </row>
    <row r="16" spans="1:10">
      <c r="A16" s="1"/>
      <c r="B16" s="19" t="s">
        <v>22</v>
      </c>
      <c r="C16" s="9">
        <f>COUNTIF($C$3:$C$12,"&lt;=5")</f>
        <v>6</v>
      </c>
      <c r="D16" s="9">
        <f>COUNTIF($D$3:$D$12,"&gt;=90000")</f>
        <v>9</v>
      </c>
      <c r="E16" s="9">
        <f>COUNTIF(E3:E12,"&gt;=90000")</f>
        <v>0</v>
      </c>
      <c r="F16" s="1"/>
      <c r="G16" s="1"/>
      <c r="H16" s="1"/>
      <c r="I16" s="1"/>
      <c r="J16" s="1"/>
    </row>
    <row r="17" spans="1:10">
      <c r="A17" s="1"/>
      <c r="B17" s="14" t="s">
        <v>22</v>
      </c>
      <c r="C17" s="9">
        <f>COUNTIF($C$3:$C$12,"&lt;="&amp;J3)</f>
        <v>6</v>
      </c>
      <c r="D17" s="9">
        <f>COUNTIF($D$3:$D$12,"&gt;="&amp;J4)</f>
        <v>9</v>
      </c>
      <c r="E17" s="21" t="s">
        <v>23</v>
      </c>
      <c r="F17" s="1"/>
      <c r="G17" s="1"/>
      <c r="H17" s="1"/>
      <c r="I17" s="1"/>
      <c r="J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Fadi Joma</cp:lastModifiedBy>
  <cp:revision/>
  <dcterms:created xsi:type="dcterms:W3CDTF">2026-06-04T13:27:37Z</dcterms:created>
  <dcterms:modified xsi:type="dcterms:W3CDTF">2026-06-05T13:09:33Z</dcterms:modified>
  <cp:category/>
  <cp:contentStatus/>
</cp:coreProperties>
</file>