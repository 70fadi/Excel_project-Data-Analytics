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134" documentId="11_0B1D56BE9CDCCE836B02CE7A5FB0D4A9BBFD1C62" xr6:coauthVersionLast="47" xr6:coauthVersionMax="47" xr10:uidLastSave="{899E67EB-C2A1-47B2-A8F1-E3AB5776D436}"/>
  <bookViews>
    <workbookView xWindow="240" yWindow="105" windowWidth="14805" windowHeight="8010" firstSheet="1" activeTab="1" xr2:uid="{00000000-000D-0000-FFFF-FFFF00000000}"/>
  </bookViews>
  <sheets>
    <sheet name="Data_1" sheetId="1" r:id="rId1"/>
    <sheet name="Data_2" sheetId="2" r:id="rId2"/>
    <sheet name="AND, 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 a="1"/>
  <c r="R2" i="2"/>
  <c r="R4" i="2" a="1"/>
  <c r="R4" i="2"/>
  <c r="R3" i="2" a="1"/>
  <c r="R3" i="2"/>
  <c r="R5" i="2" a="1"/>
  <c r="R5" i="2"/>
  <c r="R6" i="2" a="1"/>
  <c r="R6" i="2"/>
  <c r="R7" i="2" a="1"/>
  <c r="R7" i="2"/>
  <c r="R8" i="2" a="1"/>
  <c r="R8" i="2"/>
  <c r="R9" i="2" a="1"/>
  <c r="R9" i="2"/>
  <c r="R10" i="2" a="1"/>
  <c r="R10" i="2"/>
  <c r="R11" i="2" a="1"/>
  <c r="R11" i="2"/>
  <c r="R12" i="2" a="1"/>
  <c r="R12" i="2"/>
  <c r="R13" i="2" a="1"/>
  <c r="R13" i="2"/>
  <c r="R14" i="2" a="1"/>
  <c r="R14" i="2"/>
  <c r="R15" i="2" a="1"/>
  <c r="R15" i="2"/>
  <c r="R16" i="2" a="1"/>
  <c r="R16" i="2"/>
  <c r="R17" i="2" a="1"/>
  <c r="R17" i="2"/>
  <c r="R18" i="2" a="1"/>
  <c r="R18" i="2"/>
  <c r="R19" i="2" a="1"/>
  <c r="R19" i="2"/>
  <c r="R20" i="2" a="1"/>
  <c r="R20" i="2"/>
  <c r="R21" i="2" a="1"/>
  <c r="R2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M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E4" i="3"/>
  <c r="E5" i="3"/>
  <c r="E6" i="3"/>
  <c r="E3" i="3"/>
  <c r="D4" i="3"/>
  <c r="D5" i="3"/>
  <c r="D6" i="3"/>
  <c r="D3" i="3"/>
  <c r="L2" i="2"/>
  <c r="K2" i="2"/>
  <c r="L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L4" i="2"/>
  <c r="K20" i="2"/>
  <c r="K18" i="2"/>
  <c r="K9" i="2"/>
  <c r="K4" i="2"/>
  <c r="L3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K16" i="2"/>
  <c r="K10" i="2"/>
  <c r="K5" i="2"/>
  <c r="K3" i="2"/>
  <c r="K6" i="2"/>
  <c r="K7" i="2"/>
  <c r="K8" i="2"/>
  <c r="K11" i="2"/>
  <c r="K12" i="2"/>
  <c r="K13" i="2"/>
  <c r="K14" i="2"/>
  <c r="K15" i="2"/>
  <c r="K17" i="2"/>
  <c r="K19" i="2"/>
  <c r="K21" i="2"/>
  <c r="H2" i="1"/>
  <c r="H3" i="1"/>
  <c r="H4" i="1"/>
  <c r="H5" i="1"/>
  <c r="H6" i="1"/>
  <c r="H7" i="1"/>
  <c r="H8" i="1"/>
  <c r="H9" i="1"/>
  <c r="H10" i="1"/>
  <c r="H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<sst xmlns="http://schemas.openxmlformats.org/spreadsheetml/2006/main" count="182" uniqueCount="117">
  <si>
    <t>Job Title</t>
  </si>
  <si>
    <t xml:space="preserve"> Experience (Years)</t>
  </si>
  <si>
    <t>Annual Salary ($USD)</t>
  </si>
  <si>
    <t>Bonus Max ($USD)</t>
  </si>
  <si>
    <t>Meets Experience</t>
  </si>
  <si>
    <t>Meets Salary</t>
  </si>
  <si>
    <t>Meets Both</t>
  </si>
  <si>
    <t>Meets Goals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</si>
  <si>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</si>
  <si>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</si>
  <si>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</si>
  <si>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</si>
  <si>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</si>
  <si>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</si>
  <si>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</si>
  <si>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</si>
  <si>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</si>
  <si>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</si>
  <si>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</si>
  <si>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</si>
  <si>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</si>
  <si>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</si>
  <si>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</si>
  <si>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</si>
  <si>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</si>
  <si>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</si>
  <si>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</si>
  <si>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</si>
  <si>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</si>
  <si>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</si>
  <si>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</si>
  <si>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Business Analyst</t>
  </si>
  <si>
    <t>Both Roles</t>
  </si>
  <si>
    <t>=AND()</t>
  </si>
  <si>
    <t>=OR()</t>
  </si>
  <si>
    <t>Buckets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</si>
  <si>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</si>
  <si>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</si>
  <si>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</si>
  <si>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</si>
  <si>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</si>
  <si>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</si>
  <si>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</si>
  <si>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</si>
  <si>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</si>
  <si>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</si>
  <si>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</si>
  <si>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</si>
  <si>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</si>
  <si>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</si>
  <si>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</si>
  <si>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</si>
  <si>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</si>
  <si>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</si>
  <si>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</si>
  <si>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</si>
  <si>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</si>
  <si>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</si>
  <si>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</si>
  <si>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</si>
  <si>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</si>
  <si>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</si>
  <si>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</si>
  <si>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</si>
  <si>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</si>
  <si>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</si>
  <si>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</si>
  <si>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</si>
  <si>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</si>
  <si>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</si>
  <si>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</si>
  <si>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</si>
  <si>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</si>
  <si>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</si>
  <si>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</si>
  <si>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</si>
  <si>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</si>
  <si>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</si>
  <si>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</si>
  <si>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</si>
  <si>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</si>
  <si>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</si>
  <si>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</si>
  <si>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</si>
  <si>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</si>
  <si>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</si>
  <si>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</si>
  <si>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</si>
  <si>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</si>
  <si>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</si>
  <si>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</si>
  <si>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</si>
  <si>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</si>
  <si>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</si>
  <si>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</si>
  <si>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</si>
  <si>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</si>
  <si>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</si>
  <si>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</si>
  <si>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</si>
  <si>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</si>
  <si>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</si>
  <si>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</si>
  <si>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</si>
  <si>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</si>
  <si>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</si>
  <si>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</si>
  <si>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</si>
  <si>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</si>
  <si>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</si>
  <si>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</si>
  <si>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</si>
  <si>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</si>
  <si>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</si>
  <si>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</si>
  <si>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Conditon 1</t>
  </si>
  <si>
    <t>Condition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</si>
</sst>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0" fontId="2" fillId="0" borderId="12" xfId="0" applyFont="1" applyFill="1" applyBorder="1" applyAlignment="1"/>
    <xf numFmtId="0" fontId="2" fillId="0" borderId="13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1" fillId="0" borderId="1" xfId="0" applyFont="1" applyFill="1" applyBorder="1" applyAlignment="1"/>
    <xf numFmtId="0" fontId="2" fillId="0" borderId="3" xfId="0" applyFont="1" applyFill="1" applyBorder="1" applyAlignment="1"/>
    <xf numFmtId="0" fontId="1" fillId="0" borderId="11" xfId="0" applyFont="1" applyFill="1" applyBorder="1" applyAlignment="1"/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6" xfId="0" quotePrefix="1" applyFont="1" applyFill="1" applyBorder="1" applyAlignment="1"/>
    <xf numFmtId="0" fontId="5" fillId="0" borderId="17" xfId="0" applyFont="1" applyFill="1" applyBorder="1" applyAlignment="1"/>
    <xf numFmtId="0" fontId="5" fillId="0" borderId="7" xfId="0" applyFont="1" applyFill="1" applyBorder="1" applyAlignment="1"/>
    <xf numFmtId="22" fontId="5" fillId="0" borderId="7" xfId="0" applyNumberFormat="1" applyFont="1" applyFill="1" applyBorder="1" applyAlignment="1"/>
    <xf numFmtId="0" fontId="5" fillId="0" borderId="0" xfId="0" applyFont="1" applyFill="1" applyBorder="1" applyAlignment="1"/>
    <xf numFmtId="0" fontId="4" fillId="0" borderId="15" xfId="0" applyFont="1" applyFill="1" applyBorder="1" applyAlignment="1">
      <alignment wrapText="1"/>
    </xf>
    <xf numFmtId="0" fontId="5" fillId="0" borderId="7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3" borderId="1" xfId="0" applyFont="1" applyFill="1" applyBorder="1" applyAlignment="1"/>
    <xf numFmtId="0" fontId="6" fillId="3" borderId="3" xfId="0" applyFont="1" applyFill="1" applyBorder="1" applyAlignment="1"/>
    <xf numFmtId="0" fontId="6" fillId="3" borderId="3" xfId="0" quotePrefix="1" applyFont="1" applyFill="1" applyBorder="1" applyAlignment="1"/>
    <xf numFmtId="0" fontId="5" fillId="0" borderId="6" xfId="0" applyFont="1" applyFill="1" applyBorder="1" applyAlignment="1"/>
    <xf numFmtId="0" fontId="5" fillId="0" borderId="8" xfId="0" applyFont="1" applyFill="1" applyBorder="1" applyAlignment="1"/>
    <xf numFmtId="0" fontId="5" fillId="0" borderId="11" xfId="0" applyFont="1" applyFill="1" applyBorder="1" applyAlignment="1"/>
    <xf numFmtId="0" fontId="5" fillId="0" borderId="1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H2" sqref="H2"/>
    </sheetView>
  </sheetViews>
  <sheetFormatPr defaultRowHeight="15"/>
  <cols>
    <col min="1" max="1" width="24.5703125" bestFit="1" customWidth="1"/>
    <col min="8" max="8" width="17.85546875" bestFit="1" customWidth="1"/>
  </cols>
  <sheetData>
    <row r="1" spans="1:8" ht="60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8</v>
      </c>
      <c r="B2" s="7">
        <v>5</v>
      </c>
      <c r="C2" s="7">
        <v>120000</v>
      </c>
      <c r="D2" s="8">
        <v>10000</v>
      </c>
      <c r="E2" s="9" t="b">
        <v>1</v>
      </c>
      <c r="F2" s="9" t="b">
        <v>1</v>
      </c>
      <c r="G2" s="9" t="b">
        <v>1</v>
      </c>
      <c r="H2" s="10" t="str">
        <f>IF(G2,"Goal Met","Not Met")</f>
        <v>Goal Met</v>
      </c>
    </row>
    <row r="3" spans="1:8">
      <c r="A3" s="6" t="s">
        <v>9</v>
      </c>
      <c r="B3" s="7">
        <v>4</v>
      </c>
      <c r="C3" s="7">
        <v>135000</v>
      </c>
      <c r="D3" s="8">
        <v>12000</v>
      </c>
      <c r="E3" s="9" t="b">
        <v>0</v>
      </c>
      <c r="F3" s="9" t="b">
        <v>1</v>
      </c>
      <c r="G3" s="9" t="b">
        <v>0</v>
      </c>
      <c r="H3" s="10" t="str">
        <f t="shared" ref="H3:H11" si="0">IF(G3,"Goal Met","Not Met")</f>
        <v>Not Met</v>
      </c>
    </row>
    <row r="4" spans="1:8">
      <c r="A4" s="6" t="s">
        <v>10</v>
      </c>
      <c r="B4" s="7">
        <v>2</v>
      </c>
      <c r="C4" s="7">
        <v>75000</v>
      </c>
      <c r="D4" s="8">
        <v>5000</v>
      </c>
      <c r="E4" s="9" t="b">
        <v>0</v>
      </c>
      <c r="F4" s="9" t="b">
        <v>0</v>
      </c>
      <c r="G4" s="9" t="b">
        <v>0</v>
      </c>
      <c r="H4" s="10" t="str">
        <f t="shared" si="0"/>
        <v>Not Met</v>
      </c>
    </row>
    <row r="5" spans="1:8">
      <c r="A5" s="6" t="s">
        <v>11</v>
      </c>
      <c r="B5" s="7">
        <v>6</v>
      </c>
      <c r="C5" s="7">
        <v>110000</v>
      </c>
      <c r="D5" s="8">
        <v>8000</v>
      </c>
      <c r="E5" s="9" t="b">
        <v>1</v>
      </c>
      <c r="F5" s="9" t="b">
        <v>1</v>
      </c>
      <c r="G5" s="9" t="b">
        <v>1</v>
      </c>
      <c r="H5" s="10" t="str">
        <f t="shared" si="0"/>
        <v>Goal Met</v>
      </c>
    </row>
    <row r="6" spans="1:8">
      <c r="A6" s="6" t="s">
        <v>12</v>
      </c>
      <c r="B6" s="7">
        <v>3</v>
      </c>
      <c r="C6" s="7">
        <v>125000</v>
      </c>
      <c r="D6" s="8">
        <v>11000</v>
      </c>
      <c r="E6" s="9" t="b">
        <v>0</v>
      </c>
      <c r="F6" s="9" t="b">
        <v>1</v>
      </c>
      <c r="G6" s="9" t="b">
        <v>0</v>
      </c>
      <c r="H6" s="10" t="str">
        <f t="shared" si="0"/>
        <v>Not Met</v>
      </c>
    </row>
    <row r="7" spans="1:8">
      <c r="A7" s="6" t="s">
        <v>13</v>
      </c>
      <c r="B7" s="7">
        <v>7</v>
      </c>
      <c r="C7" s="7">
        <v>90000</v>
      </c>
      <c r="D7" s="8">
        <v>7000</v>
      </c>
      <c r="E7" s="9" t="b">
        <v>1</v>
      </c>
      <c r="F7" s="9" t="b">
        <v>1</v>
      </c>
      <c r="G7" s="9" t="b">
        <v>1</v>
      </c>
      <c r="H7" s="10" t="str">
        <f t="shared" si="0"/>
        <v>Goal Met</v>
      </c>
    </row>
    <row r="8" spans="1:8">
      <c r="A8" s="6" t="s">
        <v>14</v>
      </c>
      <c r="B8" s="7">
        <v>10</v>
      </c>
      <c r="C8" s="7">
        <v>150000</v>
      </c>
      <c r="D8" s="8">
        <v>15000</v>
      </c>
      <c r="E8" s="9" t="b">
        <v>1</v>
      </c>
      <c r="F8" s="9" t="b">
        <v>1</v>
      </c>
      <c r="G8" s="9" t="b">
        <v>1</v>
      </c>
      <c r="H8" s="10" t="str">
        <f t="shared" si="0"/>
        <v>Goal Met</v>
      </c>
    </row>
    <row r="9" spans="1:8">
      <c r="A9" s="6" t="s">
        <v>15</v>
      </c>
      <c r="B9" s="7">
        <v>8</v>
      </c>
      <c r="C9" s="7">
        <v>130000</v>
      </c>
      <c r="D9" s="8">
        <v>13000</v>
      </c>
      <c r="E9" s="9" t="b">
        <v>1</v>
      </c>
      <c r="F9" s="9" t="b">
        <v>1</v>
      </c>
      <c r="G9" s="9" t="b">
        <v>1</v>
      </c>
      <c r="H9" s="10" t="str">
        <f t="shared" si="0"/>
        <v>Goal Met</v>
      </c>
    </row>
    <row r="10" spans="1:8">
      <c r="A10" s="6" t="s">
        <v>16</v>
      </c>
      <c r="B10" s="7">
        <v>3</v>
      </c>
      <c r="C10" s="7">
        <v>140000</v>
      </c>
      <c r="D10" s="8">
        <v>14000</v>
      </c>
      <c r="E10" s="9" t="b">
        <v>0</v>
      </c>
      <c r="F10" s="9" t="b">
        <v>1</v>
      </c>
      <c r="G10" s="9" t="b">
        <v>0</v>
      </c>
      <c r="H10" s="10" t="str">
        <f t="shared" si="0"/>
        <v>Not Met</v>
      </c>
    </row>
    <row r="11" spans="1:8">
      <c r="A11" s="11" t="s">
        <v>17</v>
      </c>
      <c r="B11" s="12">
        <v>5</v>
      </c>
      <c r="C11" s="12">
        <v>115000</v>
      </c>
      <c r="D11" s="13">
        <v>9000</v>
      </c>
      <c r="E11" s="9" t="b">
        <v>1</v>
      </c>
      <c r="F11" s="9" t="b">
        <v>1</v>
      </c>
      <c r="G11" s="9" t="b">
        <v>1</v>
      </c>
      <c r="H11" s="10" t="str">
        <f t="shared" si="0"/>
        <v>Goal Met</v>
      </c>
    </row>
    <row r="12" spans="1:8">
      <c r="A12" s="14"/>
      <c r="B12" s="14"/>
      <c r="C12" s="14"/>
      <c r="D12" s="14"/>
      <c r="E12" s="14"/>
      <c r="F12" s="14"/>
      <c r="G12" s="14"/>
      <c r="H12" s="14"/>
    </row>
    <row r="13" spans="1:8">
      <c r="A13" s="15" t="s">
        <v>18</v>
      </c>
      <c r="B13" s="14"/>
      <c r="C13" s="14"/>
      <c r="D13" s="14"/>
      <c r="E13" s="14"/>
      <c r="F13" s="14"/>
      <c r="G13" s="14"/>
      <c r="H13" s="14"/>
    </row>
    <row r="14" spans="1:8">
      <c r="A14" s="16" t="s">
        <v>19</v>
      </c>
      <c r="B14" s="17">
        <v>5</v>
      </c>
      <c r="C14" s="14"/>
      <c r="D14" s="14"/>
      <c r="E14" s="14"/>
      <c r="F14" s="14"/>
      <c r="G14" s="14"/>
      <c r="H14" s="14"/>
    </row>
    <row r="15" spans="1:8">
      <c r="A15" s="18" t="s">
        <v>20</v>
      </c>
      <c r="B15" s="13">
        <v>90000</v>
      </c>
      <c r="C15" s="14"/>
      <c r="D15" s="14"/>
      <c r="E15" s="14"/>
      <c r="F15" s="14"/>
      <c r="G15" s="14"/>
      <c r="H1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0ED7-878F-43B4-998B-9E43D4DF2B4A}">
  <dimension ref="A1:R21"/>
  <sheetViews>
    <sheetView tabSelected="1" workbookViewId="0">
      <pane ySplit="1" topLeftCell="A2" activePane="bottomLeft" state="frozen"/>
      <selection pane="bottomLeft" activeCell="R2" sqref="R2"/>
    </sheetView>
  </sheetViews>
  <sheetFormatPr defaultColWidth="9.140625" defaultRowHeight="15"/>
  <cols>
    <col min="1" max="1" width="18.5703125" bestFit="1" customWidth="1"/>
    <col min="2" max="2" width="16" hidden="1" customWidth="1"/>
    <col min="3" max="3" width="24" hidden="1" customWidth="1"/>
    <col min="4" max="4" width="12.28515625" hidden="1" customWidth="1"/>
    <col min="5" max="5" width="36.5703125" hidden="1" customWidth="1"/>
    <col min="6" max="6" width="16.140625" hidden="1" customWidth="1"/>
    <col min="7" max="7" width="20.5703125" hidden="1" customWidth="1"/>
    <col min="8" max="8" width="15.28515625" customWidth="1"/>
    <col min="9" max="9" width="20.85546875" hidden="1" customWidth="1"/>
    <col min="10" max="10" width="36.5703125" hidden="1" customWidth="1"/>
    <col min="11" max="11" width="12.140625" hidden="1" customWidth="1"/>
    <col min="12" max="12" width="15.7109375" hidden="1" customWidth="1"/>
    <col min="13" max="13" width="36.5703125" hidden="1" customWidth="1"/>
    <col min="14" max="15" width="0" hidden="1" customWidth="1"/>
    <col min="16" max="16" width="36.5703125" bestFit="1" customWidth="1"/>
    <col min="17" max="17" width="17.5703125" bestFit="1" customWidth="1"/>
    <col min="18" max="18" width="36.5703125" bestFit="1" customWidth="1"/>
  </cols>
  <sheetData>
    <row r="1" spans="1:18">
      <c r="A1" s="19" t="s">
        <v>21</v>
      </c>
      <c r="B1" s="20" t="s">
        <v>22</v>
      </c>
      <c r="C1" s="20" t="s">
        <v>23</v>
      </c>
      <c r="D1" s="20" t="s">
        <v>24</v>
      </c>
      <c r="E1" s="27" t="s">
        <v>25</v>
      </c>
      <c r="F1" s="20" t="s">
        <v>26</v>
      </c>
      <c r="G1" s="20" t="s">
        <v>27</v>
      </c>
      <c r="H1" s="20" t="s">
        <v>28</v>
      </c>
      <c r="I1" s="20" t="s">
        <v>29</v>
      </c>
      <c r="J1" s="27" t="s">
        <v>30</v>
      </c>
      <c r="K1" s="21" t="s">
        <v>10</v>
      </c>
      <c r="L1" s="21" t="s">
        <v>31</v>
      </c>
      <c r="M1" s="21" t="s">
        <v>32</v>
      </c>
      <c r="N1" s="22" t="s">
        <v>33</v>
      </c>
      <c r="O1" s="22" t="s">
        <v>34</v>
      </c>
      <c r="P1" s="21" t="s">
        <v>32</v>
      </c>
      <c r="Q1" s="21">
        <v>85000</v>
      </c>
      <c r="R1" s="21" t="s">
        <v>35</v>
      </c>
    </row>
    <row r="2" spans="1:18" ht="29.25">
      <c r="A2" s="23" t="s">
        <v>36</v>
      </c>
      <c r="B2" s="25">
        <v>44996.547291666669</v>
      </c>
      <c r="C2" s="24" t="s">
        <v>37</v>
      </c>
      <c r="D2" s="24" t="s">
        <v>38</v>
      </c>
      <c r="E2" s="28" t="s">
        <v>39</v>
      </c>
      <c r="F2" s="24" t="s">
        <v>40</v>
      </c>
      <c r="G2" s="24" t="s">
        <v>41</v>
      </c>
      <c r="H2" s="24">
        <v>135000</v>
      </c>
      <c r="I2" s="24" t="b">
        <v>0</v>
      </c>
      <c r="J2" s="28" t="s">
        <v>42</v>
      </c>
      <c r="K2" s="26" t="str">
        <f>IF($A2=K$1,"Role desired", "Not desired")</f>
        <v>Not desired</v>
      </c>
      <c r="L2" s="26" t="str">
        <f>IF($A2=L$1,"Role desired", "Not desired")</f>
        <v>Not desired</v>
      </c>
      <c r="M2" s="29" t="str">
        <f>IF($A2=K$1,"Role desired", IF($A2=L$1,"Role desired", "Not desired"))</f>
        <v>Not desired</v>
      </c>
      <c r="N2" s="26" t="b">
        <f>AND($A2=$K$1,$A2=$L$1)</f>
        <v>0</v>
      </c>
      <c r="O2" s="26" t="b">
        <f>OR($A2=$K$1,$A2=$L$1)</f>
        <v>0</v>
      </c>
      <c r="P2" s="29" t="str">
        <f>IF(K$1=$A2,"Role desired", IF(L$1=$A2,"Role desired","Role not desired"))</f>
        <v>Role not desired</v>
      </c>
      <c r="Q2" s="26" t="str">
        <f>IF($H2&gt;$Q$1,"Salary&gt;85K","Salary below 85K")</f>
        <v>Salary&gt;85K</v>
      </c>
      <c r="R2" s="29" t="str" cm="1">
        <f t="array" ref="R2">_xlfn.IFS($H2="","No data",$H2&gt;=$Q$1,"salary&gt;85K",TRUE, "salary low")</f>
        <v>salary&gt;85K</v>
      </c>
    </row>
    <row r="3" spans="1:18">
      <c r="A3" s="23" t="s">
        <v>10</v>
      </c>
      <c r="B3" s="25">
        <v>45097.915243055555</v>
      </c>
      <c r="C3" s="24" t="s">
        <v>43</v>
      </c>
      <c r="D3" s="24" t="s">
        <v>44</v>
      </c>
      <c r="E3" s="28" t="s">
        <v>45</v>
      </c>
      <c r="F3" s="24" t="s">
        <v>46</v>
      </c>
      <c r="G3" s="24" t="s">
        <v>47</v>
      </c>
      <c r="H3" s="24">
        <v>35000</v>
      </c>
      <c r="I3" s="24" t="b">
        <v>1</v>
      </c>
      <c r="J3" s="28" t="s">
        <v>48</v>
      </c>
      <c r="K3" s="26" t="str">
        <f t="shared" ref="K3:L21" si="0">IF($A3=K$1,"Role desired", "Not desired")</f>
        <v>Role desired</v>
      </c>
      <c r="L3" s="26" t="str">
        <f t="shared" si="0"/>
        <v>Not desired</v>
      </c>
      <c r="M3" s="29" t="str">
        <f>IF($A3=K$1,"Role desired", IF($A3=L$1,"Role desired", "Not desired"))</f>
        <v>Role desired</v>
      </c>
      <c r="N3" s="26" t="b">
        <f t="shared" ref="N3:N21" si="1">AND($A3=$K$1,$A3=$L$1)</f>
        <v>0</v>
      </c>
      <c r="O3" s="26" t="b">
        <f t="shared" ref="O3:O21" si="2">OR($A3=$K$1,$A3=$L$1)</f>
        <v>1</v>
      </c>
      <c r="P3" s="29" t="str">
        <f t="shared" ref="P3:P21" si="3">IF(K$1=$A3,"Role desired", IF(L$1=$A3,"Role desired","Role not desired"))</f>
        <v>Role desired</v>
      </c>
      <c r="Q3" s="26" t="str">
        <f t="shared" ref="Q3:Q21" si="4">IF($H3&gt;$Q$1,"Salary&gt;85K","Salary below 85K")</f>
        <v>Salary below 85K</v>
      </c>
      <c r="R3" s="29" t="str" cm="1">
        <f t="array" ref="R3">_xlfn.IFS($H3="","No data",$H3&gt;=$Q$1,"salary&gt;85K",TRUE, "salary low")</f>
        <v>salary low</v>
      </c>
    </row>
    <row r="4" spans="1:18">
      <c r="A4" s="23" t="s">
        <v>10</v>
      </c>
      <c r="B4" s="25">
        <v>45173.250416666669</v>
      </c>
      <c r="C4" s="24" t="s">
        <v>49</v>
      </c>
      <c r="D4" s="24" t="s">
        <v>38</v>
      </c>
      <c r="E4" s="28" t="s">
        <v>50</v>
      </c>
      <c r="F4" s="24" t="s">
        <v>51</v>
      </c>
      <c r="G4" s="24" t="s">
        <v>41</v>
      </c>
      <c r="H4" s="24"/>
      <c r="I4" s="24" t="b">
        <v>0</v>
      </c>
      <c r="J4" s="28" t="s">
        <v>52</v>
      </c>
      <c r="K4" s="26" t="str">
        <f>IF($A4=K$1,"Role desired", "Not desired")</f>
        <v>Role desired</v>
      </c>
      <c r="L4" s="26" t="str">
        <f>IF($A4=L$1,"Role desired", "Not desired")</f>
        <v>Not desired</v>
      </c>
      <c r="M4" s="29" t="str">
        <f t="shared" ref="M3:M21" si="5">IF($A4=K$1,"Role desired", IF($A4=L$1,"Role desired", "Not desired"))</f>
        <v>Role desired</v>
      </c>
      <c r="N4" s="26" t="b">
        <f t="shared" si="1"/>
        <v>0</v>
      </c>
      <c r="O4" s="26" t="b">
        <f t="shared" si="2"/>
        <v>1</v>
      </c>
      <c r="P4" s="29" t="str">
        <f t="shared" si="3"/>
        <v>Role desired</v>
      </c>
      <c r="Q4" s="26" t="str">
        <f t="shared" si="4"/>
        <v>Salary below 85K</v>
      </c>
      <c r="R4" s="29" t="str" cm="1">
        <f t="array" ref="R4">_xlfn.IFS($H4="","No data",$H4&gt;=$Q$1,"salary&gt;85K",TRUE, "salary low")</f>
        <v>No data</v>
      </c>
    </row>
    <row r="5" spans="1:18">
      <c r="A5" s="23" t="s">
        <v>8</v>
      </c>
      <c r="B5" s="25">
        <v>45156.253321759257</v>
      </c>
      <c r="C5" s="24" t="s">
        <v>53</v>
      </c>
      <c r="D5" s="24" t="s">
        <v>38</v>
      </c>
      <c r="E5" s="28" t="s">
        <v>54</v>
      </c>
      <c r="F5" s="24" t="s">
        <v>51</v>
      </c>
      <c r="G5" s="24" t="s">
        <v>41</v>
      </c>
      <c r="H5" s="24"/>
      <c r="I5" s="24" t="b">
        <v>0</v>
      </c>
      <c r="J5" s="28" t="s">
        <v>55</v>
      </c>
      <c r="K5" s="26" t="str">
        <f>IF($A5=K$1,"Role desired", "Not desired")</f>
        <v>Not desired</v>
      </c>
      <c r="L5" s="26" t="str">
        <f t="shared" si="0"/>
        <v>Not desired</v>
      </c>
      <c r="M5" s="29" t="str">
        <f t="shared" si="5"/>
        <v>Not desired</v>
      </c>
      <c r="N5" s="26" t="b">
        <f t="shared" si="1"/>
        <v>0</v>
      </c>
      <c r="O5" s="26" t="b">
        <f t="shared" si="2"/>
        <v>0</v>
      </c>
      <c r="P5" s="29" t="str">
        <f t="shared" si="3"/>
        <v>Role not desired</v>
      </c>
      <c r="Q5" s="26" t="str">
        <f t="shared" si="4"/>
        <v>Salary below 85K</v>
      </c>
      <c r="R5" s="29" t="str" cm="1">
        <f t="array" ref="R5">_xlfn.IFS($H5="","No data",$H5&gt;=$Q$1,"salary&gt;85K",TRUE, "salary low")</f>
        <v>No data</v>
      </c>
    </row>
    <row r="6" spans="1:18">
      <c r="A6" s="23" t="s">
        <v>56</v>
      </c>
      <c r="B6" s="25">
        <v>45147.802951388891</v>
      </c>
      <c r="C6" s="24" t="s">
        <v>57</v>
      </c>
      <c r="D6" s="24" t="s">
        <v>58</v>
      </c>
      <c r="E6" s="28" t="s">
        <v>59</v>
      </c>
      <c r="F6" s="24" t="s">
        <v>51</v>
      </c>
      <c r="G6" s="24" t="s">
        <v>41</v>
      </c>
      <c r="H6" s="24"/>
      <c r="I6" s="24" t="b">
        <v>0</v>
      </c>
      <c r="J6" s="28" t="s">
        <v>60</v>
      </c>
      <c r="K6" s="26" t="str">
        <f t="shared" si="0"/>
        <v>Not desired</v>
      </c>
      <c r="L6" s="26" t="str">
        <f>IF($A6=L$1,"Role desired", "Not desired")</f>
        <v>Not desired</v>
      </c>
      <c r="M6" s="29" t="str">
        <f t="shared" si="5"/>
        <v>Not desired</v>
      </c>
      <c r="N6" s="26" t="b">
        <f t="shared" si="1"/>
        <v>0</v>
      </c>
      <c r="O6" s="26" t="b">
        <f t="shared" si="2"/>
        <v>0</v>
      </c>
      <c r="P6" s="29" t="str">
        <f t="shared" si="3"/>
        <v>Role not desired</v>
      </c>
      <c r="Q6" s="26" t="str">
        <f t="shared" si="4"/>
        <v>Salary below 85K</v>
      </c>
      <c r="R6" s="29" t="str" cm="1">
        <f t="array" ref="R6">_xlfn.IFS($H6="","No data",$H6&gt;=$Q$1,"salary&gt;85K",TRUE, "salary low")</f>
        <v>No data</v>
      </c>
    </row>
    <row r="7" spans="1:18">
      <c r="A7" s="23" t="s">
        <v>8</v>
      </c>
      <c r="B7" s="25">
        <v>45202.753101851849</v>
      </c>
      <c r="C7" s="24" t="s">
        <v>61</v>
      </c>
      <c r="D7" s="24" t="s">
        <v>38</v>
      </c>
      <c r="E7" s="28" t="s">
        <v>62</v>
      </c>
      <c r="F7" s="24" t="s">
        <v>51</v>
      </c>
      <c r="G7" s="24" t="s">
        <v>63</v>
      </c>
      <c r="H7" s="24"/>
      <c r="I7" s="24" t="b">
        <v>0</v>
      </c>
      <c r="J7" s="28" t="s">
        <v>64</v>
      </c>
      <c r="K7" s="26" t="str">
        <f t="shared" si="0"/>
        <v>Not desired</v>
      </c>
      <c r="L7" s="26" t="str">
        <f t="shared" si="0"/>
        <v>Not desired</v>
      </c>
      <c r="M7" s="29" t="str">
        <f t="shared" si="5"/>
        <v>Not desired</v>
      </c>
      <c r="N7" s="26" t="b">
        <f t="shared" si="1"/>
        <v>0</v>
      </c>
      <c r="O7" s="26" t="b">
        <f t="shared" si="2"/>
        <v>0</v>
      </c>
      <c r="P7" s="29" t="str">
        <f t="shared" si="3"/>
        <v>Role not desired</v>
      </c>
      <c r="Q7" s="26" t="str">
        <f t="shared" si="4"/>
        <v>Salary below 85K</v>
      </c>
      <c r="R7" s="29" t="str" cm="1">
        <f t="array" ref="R7">_xlfn.IFS($H7="","No data",$H7&gt;=$Q$1,"salary&gt;85K",TRUE, "salary low")</f>
        <v>No data</v>
      </c>
    </row>
    <row r="8" spans="1:18">
      <c r="A8" s="23" t="s">
        <v>10</v>
      </c>
      <c r="B8" s="25">
        <v>44949.850462962961</v>
      </c>
      <c r="C8" s="24" t="s">
        <v>65</v>
      </c>
      <c r="D8" s="24" t="s">
        <v>38</v>
      </c>
      <c r="E8" s="28" t="s">
        <v>66</v>
      </c>
      <c r="F8" s="24" t="s">
        <v>40</v>
      </c>
      <c r="G8" s="24" t="s">
        <v>41</v>
      </c>
      <c r="H8" s="24"/>
      <c r="I8" s="24" t="b">
        <v>0</v>
      </c>
      <c r="J8" s="28" t="s">
        <v>67</v>
      </c>
      <c r="K8" s="26" t="str">
        <f t="shared" si="0"/>
        <v>Role desired</v>
      </c>
      <c r="L8" s="26" t="str">
        <f t="shared" si="0"/>
        <v>Not desired</v>
      </c>
      <c r="M8" s="29" t="str">
        <f t="shared" si="5"/>
        <v>Role desired</v>
      </c>
      <c r="N8" s="26" t="b">
        <f t="shared" si="1"/>
        <v>0</v>
      </c>
      <c r="O8" s="26" t="b">
        <f t="shared" si="2"/>
        <v>1</v>
      </c>
      <c r="P8" s="29" t="str">
        <f t="shared" si="3"/>
        <v>Role desired</v>
      </c>
      <c r="Q8" s="26" t="str">
        <f t="shared" si="4"/>
        <v>Salary below 85K</v>
      </c>
      <c r="R8" s="29" t="str" cm="1">
        <f t="array" ref="R8">_xlfn.IFS($H8="","No data",$H8&gt;=$Q$1,"salary&gt;85K",TRUE, "salary low")</f>
        <v>No data</v>
      </c>
    </row>
    <row r="9" spans="1:18">
      <c r="A9" s="23" t="s">
        <v>10</v>
      </c>
      <c r="B9" s="25">
        <v>45001.627175925925</v>
      </c>
      <c r="C9" s="24" t="s">
        <v>68</v>
      </c>
      <c r="D9" s="24" t="s">
        <v>38</v>
      </c>
      <c r="E9" s="28" t="s">
        <v>69</v>
      </c>
      <c r="F9" s="24" t="s">
        <v>70</v>
      </c>
      <c r="G9" s="24" t="s">
        <v>41</v>
      </c>
      <c r="H9" s="24">
        <v>115000</v>
      </c>
      <c r="I9" s="24" t="b">
        <v>0</v>
      </c>
      <c r="J9" s="28" t="s">
        <v>71</v>
      </c>
      <c r="K9" s="26" t="str">
        <f>IF($A9=K$1,"Role desired", "Not desired")</f>
        <v>Role desired</v>
      </c>
      <c r="L9" s="26" t="str">
        <f t="shared" si="0"/>
        <v>Not desired</v>
      </c>
      <c r="M9" s="29" t="str">
        <f t="shared" si="5"/>
        <v>Role desired</v>
      </c>
      <c r="N9" s="26" t="b">
        <f t="shared" si="1"/>
        <v>0</v>
      </c>
      <c r="O9" s="26" t="b">
        <f t="shared" si="2"/>
        <v>1</v>
      </c>
      <c r="P9" s="29" t="str">
        <f t="shared" si="3"/>
        <v>Role desired</v>
      </c>
      <c r="Q9" s="26" t="str">
        <f t="shared" si="4"/>
        <v>Salary&gt;85K</v>
      </c>
      <c r="R9" s="29" t="str" cm="1">
        <f t="array" ref="R9">_xlfn.IFS($H9="","No data",$H9&gt;=$Q$1,"salary&gt;85K",TRUE, "salary low")</f>
        <v>salary&gt;85K</v>
      </c>
    </row>
    <row r="10" spans="1:18">
      <c r="A10" s="23" t="s">
        <v>10</v>
      </c>
      <c r="B10" s="25">
        <v>45041.375868055555</v>
      </c>
      <c r="C10" s="24" t="s">
        <v>72</v>
      </c>
      <c r="D10" s="24" t="s">
        <v>38</v>
      </c>
      <c r="E10" s="28" t="s">
        <v>73</v>
      </c>
      <c r="F10" s="24" t="s">
        <v>40</v>
      </c>
      <c r="G10" s="24" t="s">
        <v>47</v>
      </c>
      <c r="H10" s="24"/>
      <c r="I10" s="24" t="b">
        <v>0</v>
      </c>
      <c r="J10" s="28" t="s">
        <v>74</v>
      </c>
      <c r="K10" s="26" t="str">
        <f>IF($A10=K$1,"Role desired", "Not desired")</f>
        <v>Role desired</v>
      </c>
      <c r="L10" s="26" t="str">
        <f t="shared" si="0"/>
        <v>Not desired</v>
      </c>
      <c r="M10" s="29" t="str">
        <f t="shared" si="5"/>
        <v>Role desired</v>
      </c>
      <c r="N10" s="26" t="b">
        <f t="shared" si="1"/>
        <v>0</v>
      </c>
      <c r="O10" s="26" t="b">
        <f t="shared" si="2"/>
        <v>1</v>
      </c>
      <c r="P10" s="29" t="str">
        <f t="shared" si="3"/>
        <v>Role desired</v>
      </c>
      <c r="Q10" s="26" t="str">
        <f t="shared" si="4"/>
        <v>Salary below 85K</v>
      </c>
      <c r="R10" s="29" t="str" cm="1">
        <f t="array" ref="R10">_xlfn.IFS($H10="","No data",$H10&gt;=$Q$1,"salary&gt;85K",TRUE, "salary low")</f>
        <v>No data</v>
      </c>
    </row>
    <row r="11" spans="1:18">
      <c r="A11" s="23" t="s">
        <v>10</v>
      </c>
      <c r="B11" s="25">
        <v>45106.587094907409</v>
      </c>
      <c r="C11" s="24" t="s">
        <v>75</v>
      </c>
      <c r="D11" s="24" t="s">
        <v>38</v>
      </c>
      <c r="E11" s="28" t="s">
        <v>76</v>
      </c>
      <c r="F11" s="24" t="s">
        <v>77</v>
      </c>
      <c r="G11" s="24" t="s">
        <v>41</v>
      </c>
      <c r="H11" s="24">
        <v>105000</v>
      </c>
      <c r="I11" s="24" t="b">
        <v>0</v>
      </c>
      <c r="J11" s="28" t="s">
        <v>78</v>
      </c>
      <c r="K11" s="26" t="str">
        <f t="shared" si="0"/>
        <v>Role desired</v>
      </c>
      <c r="L11" s="26" t="str">
        <f t="shared" si="0"/>
        <v>Not desired</v>
      </c>
      <c r="M11" s="29" t="str">
        <f t="shared" si="5"/>
        <v>Role desired</v>
      </c>
      <c r="N11" s="26" t="b">
        <f t="shared" si="1"/>
        <v>0</v>
      </c>
      <c r="O11" s="26" t="b">
        <f t="shared" si="2"/>
        <v>1</v>
      </c>
      <c r="P11" s="29" t="str">
        <f t="shared" si="3"/>
        <v>Role desired</v>
      </c>
      <c r="Q11" s="26" t="str">
        <f t="shared" si="4"/>
        <v>Salary&gt;85K</v>
      </c>
      <c r="R11" s="29" t="str" cm="1">
        <f t="array" ref="R11">_xlfn.IFS($H11="","No data",$H11&gt;=$Q$1,"salary&gt;85K",TRUE, "salary low")</f>
        <v>salary&gt;85K</v>
      </c>
    </row>
    <row r="12" spans="1:18">
      <c r="A12" s="23" t="s">
        <v>8</v>
      </c>
      <c r="B12" s="25">
        <v>45029.919687499998</v>
      </c>
      <c r="C12" s="24" t="s">
        <v>79</v>
      </c>
      <c r="D12" s="24" t="s">
        <v>38</v>
      </c>
      <c r="E12" s="28" t="s">
        <v>80</v>
      </c>
      <c r="F12" s="24" t="s">
        <v>70</v>
      </c>
      <c r="G12" s="24" t="s">
        <v>41</v>
      </c>
      <c r="H12" s="24">
        <v>195000</v>
      </c>
      <c r="I12" s="24" t="b">
        <v>0</v>
      </c>
      <c r="J12" s="28" t="s">
        <v>81</v>
      </c>
      <c r="K12" s="26" t="str">
        <f t="shared" si="0"/>
        <v>Not desired</v>
      </c>
      <c r="L12" s="26" t="str">
        <f t="shared" si="0"/>
        <v>Not desired</v>
      </c>
      <c r="M12" s="29" t="str">
        <f t="shared" si="5"/>
        <v>Not desired</v>
      </c>
      <c r="N12" s="26" t="b">
        <f t="shared" si="1"/>
        <v>0</v>
      </c>
      <c r="O12" s="26" t="b">
        <f t="shared" si="2"/>
        <v>0</v>
      </c>
      <c r="P12" s="29" t="str">
        <f t="shared" si="3"/>
        <v>Role not desired</v>
      </c>
      <c r="Q12" s="26" t="str">
        <f t="shared" si="4"/>
        <v>Salary&gt;85K</v>
      </c>
      <c r="R12" s="29" t="str" cm="1">
        <f t="array" ref="R12">_xlfn.IFS($H12="","No data",$H12&gt;=$Q$1,"salary&gt;85K",TRUE, "salary low")</f>
        <v>salary&gt;85K</v>
      </c>
    </row>
    <row r="13" spans="1:18">
      <c r="A13" s="23" t="s">
        <v>82</v>
      </c>
      <c r="B13" s="25">
        <v>45091.502789351849</v>
      </c>
      <c r="C13" s="24" t="s">
        <v>83</v>
      </c>
      <c r="D13" s="24" t="s">
        <v>38</v>
      </c>
      <c r="E13" s="28" t="s">
        <v>84</v>
      </c>
      <c r="F13" s="24" t="s">
        <v>70</v>
      </c>
      <c r="G13" s="24" t="s">
        <v>41</v>
      </c>
      <c r="H13" s="24">
        <v>165000</v>
      </c>
      <c r="I13" s="24" t="b">
        <v>0</v>
      </c>
      <c r="J13" s="28" t="s">
        <v>85</v>
      </c>
      <c r="K13" s="26" t="str">
        <f t="shared" si="0"/>
        <v>Not desired</v>
      </c>
      <c r="L13" s="26" t="str">
        <f t="shared" si="0"/>
        <v>Not desired</v>
      </c>
      <c r="M13" s="29" t="str">
        <f t="shared" si="5"/>
        <v>Not desired</v>
      </c>
      <c r="N13" s="26" t="b">
        <f t="shared" si="1"/>
        <v>0</v>
      </c>
      <c r="O13" s="26" t="b">
        <f t="shared" si="2"/>
        <v>0</v>
      </c>
      <c r="P13" s="29" t="str">
        <f t="shared" si="3"/>
        <v>Role not desired</v>
      </c>
      <c r="Q13" s="26" t="str">
        <f t="shared" si="4"/>
        <v>Salary&gt;85K</v>
      </c>
      <c r="R13" s="29" t="str" cm="1">
        <f t="array" ref="R13">_xlfn.IFS($H13="","No data",$H13&gt;=$Q$1,"salary&gt;85K",TRUE, "salary low")</f>
        <v>salary&gt;85K</v>
      </c>
    </row>
    <row r="14" spans="1:18">
      <c r="A14" s="23" t="s">
        <v>8</v>
      </c>
      <c r="B14" s="25">
        <v>45175.543124999997</v>
      </c>
      <c r="C14" s="24" t="s">
        <v>86</v>
      </c>
      <c r="D14" s="24" t="s">
        <v>38</v>
      </c>
      <c r="E14" s="28" t="s">
        <v>87</v>
      </c>
      <c r="F14" s="24" t="s">
        <v>88</v>
      </c>
      <c r="G14" s="24" t="s">
        <v>41</v>
      </c>
      <c r="H14" s="24">
        <v>281450.5</v>
      </c>
      <c r="I14" s="24" t="b">
        <v>0</v>
      </c>
      <c r="J14" s="28" t="s">
        <v>89</v>
      </c>
      <c r="K14" s="26" t="str">
        <f t="shared" si="0"/>
        <v>Not desired</v>
      </c>
      <c r="L14" s="26" t="str">
        <f t="shared" si="0"/>
        <v>Not desired</v>
      </c>
      <c r="M14" s="29" t="str">
        <f t="shared" si="5"/>
        <v>Not desired</v>
      </c>
      <c r="N14" s="26" t="b">
        <f t="shared" si="1"/>
        <v>0</v>
      </c>
      <c r="O14" s="26" t="b">
        <f t="shared" si="2"/>
        <v>0</v>
      </c>
      <c r="P14" s="29" t="str">
        <f t="shared" si="3"/>
        <v>Role not desired</v>
      </c>
      <c r="Q14" s="26" t="str">
        <f t="shared" si="4"/>
        <v>Salary&gt;85K</v>
      </c>
      <c r="R14" s="29" t="str" cm="1">
        <f t="array" ref="R14">_xlfn.IFS($H14="","No data",$H14&gt;=$Q$1,"salary&gt;85K",TRUE, "salary low")</f>
        <v>salary&gt;85K</v>
      </c>
    </row>
    <row r="15" spans="1:18">
      <c r="A15" s="23" t="s">
        <v>8</v>
      </c>
      <c r="B15" s="25">
        <v>45117.778391203705</v>
      </c>
      <c r="C15" s="24" t="s">
        <v>90</v>
      </c>
      <c r="D15" s="24" t="s">
        <v>91</v>
      </c>
      <c r="E15" s="28" t="s">
        <v>92</v>
      </c>
      <c r="F15" s="24" t="s">
        <v>93</v>
      </c>
      <c r="G15" s="24" t="s">
        <v>41</v>
      </c>
      <c r="H15" s="24">
        <v>70000</v>
      </c>
      <c r="I15" s="24" t="b">
        <v>0</v>
      </c>
      <c r="J15" s="28" t="s">
        <v>94</v>
      </c>
      <c r="K15" s="26" t="str">
        <f t="shared" si="0"/>
        <v>Not desired</v>
      </c>
      <c r="L15" s="26" t="str">
        <f t="shared" si="0"/>
        <v>Not desired</v>
      </c>
      <c r="M15" s="29" t="str">
        <f t="shared" si="5"/>
        <v>Not desired</v>
      </c>
      <c r="N15" s="26" t="b">
        <f t="shared" si="1"/>
        <v>0</v>
      </c>
      <c r="O15" s="26" t="b">
        <f t="shared" si="2"/>
        <v>0</v>
      </c>
      <c r="P15" s="29" t="str">
        <f t="shared" si="3"/>
        <v>Role not desired</v>
      </c>
      <c r="Q15" s="26" t="str">
        <f t="shared" si="4"/>
        <v>Salary below 85K</v>
      </c>
      <c r="R15" s="29" t="str" cm="1">
        <f t="array" ref="R15">_xlfn.IFS($H15="","No data",$H15&gt;=$Q$1,"salary&gt;85K",TRUE, "salary low")</f>
        <v>salary low</v>
      </c>
    </row>
    <row r="16" spans="1:18">
      <c r="A16" s="23" t="s">
        <v>12</v>
      </c>
      <c r="B16" s="25">
        <v>44938.614351851851</v>
      </c>
      <c r="C16" s="24" t="s">
        <v>95</v>
      </c>
      <c r="D16" s="24" t="s">
        <v>96</v>
      </c>
      <c r="E16" s="28" t="s">
        <v>97</v>
      </c>
      <c r="F16" s="24" t="s">
        <v>93</v>
      </c>
      <c r="G16" s="24" t="s">
        <v>41</v>
      </c>
      <c r="H16" s="24">
        <v>98301.5</v>
      </c>
      <c r="I16" s="24" t="b">
        <v>0</v>
      </c>
      <c r="J16" s="28" t="s">
        <v>98</v>
      </c>
      <c r="K16" s="26" t="str">
        <f>IF($A16=K$1,"Role desired", "Not desired")</f>
        <v>Not desired</v>
      </c>
      <c r="L16" s="26" t="str">
        <f t="shared" si="0"/>
        <v>Not desired</v>
      </c>
      <c r="M16" s="29" t="str">
        <f t="shared" si="5"/>
        <v>Not desired</v>
      </c>
      <c r="N16" s="26" t="b">
        <f t="shared" si="1"/>
        <v>0</v>
      </c>
      <c r="O16" s="26" t="b">
        <f t="shared" si="2"/>
        <v>0</v>
      </c>
      <c r="P16" s="29" t="str">
        <f t="shared" si="3"/>
        <v>Role not desired</v>
      </c>
      <c r="Q16" s="26" t="str">
        <f t="shared" si="4"/>
        <v>Salary&gt;85K</v>
      </c>
      <c r="R16" s="29" t="str" cm="1">
        <f t="array" ref="R16">_xlfn.IFS($H16="","No data",$H16&gt;=$Q$1,"salary&gt;85K",TRUE, "salary low")</f>
        <v>salary&gt;85K</v>
      </c>
    </row>
    <row r="17" spans="1:18">
      <c r="A17" s="23" t="s">
        <v>12</v>
      </c>
      <c r="B17" s="25">
        <v>44985.354097222225</v>
      </c>
      <c r="C17" s="24" t="s">
        <v>99</v>
      </c>
      <c r="D17" s="24" t="s">
        <v>100</v>
      </c>
      <c r="E17" s="28" t="s">
        <v>101</v>
      </c>
      <c r="F17" s="24" t="s">
        <v>93</v>
      </c>
      <c r="G17" s="24" t="s">
        <v>41</v>
      </c>
      <c r="H17" s="24">
        <v>89100</v>
      </c>
      <c r="I17" s="24" t="b">
        <v>0</v>
      </c>
      <c r="J17" s="28" t="s">
        <v>102</v>
      </c>
      <c r="K17" s="26" t="str">
        <f t="shared" si="0"/>
        <v>Not desired</v>
      </c>
      <c r="L17" s="26" t="str">
        <f t="shared" si="0"/>
        <v>Not desired</v>
      </c>
      <c r="M17" s="29" t="str">
        <f t="shared" si="5"/>
        <v>Not desired</v>
      </c>
      <c r="N17" s="26" t="b">
        <f t="shared" si="1"/>
        <v>0</v>
      </c>
      <c r="O17" s="26" t="b">
        <f t="shared" si="2"/>
        <v>0</v>
      </c>
      <c r="P17" s="29" t="str">
        <f t="shared" si="3"/>
        <v>Role not desired</v>
      </c>
      <c r="Q17" s="26" t="str">
        <f t="shared" si="4"/>
        <v>Salary&gt;85K</v>
      </c>
      <c r="R17" s="29" t="str" cm="1">
        <f t="array" ref="R17">_xlfn.IFS($H17="","No data",$H17&gt;=$Q$1,"salary&gt;85K",TRUE, "salary low")</f>
        <v>salary&gt;85K</v>
      </c>
    </row>
    <row r="18" spans="1:18">
      <c r="A18" s="23" t="s">
        <v>31</v>
      </c>
      <c r="B18" s="25">
        <v>45063.792291666665</v>
      </c>
      <c r="C18" s="24" t="s">
        <v>103</v>
      </c>
      <c r="D18" s="24" t="s">
        <v>38</v>
      </c>
      <c r="E18" s="28" t="s">
        <v>104</v>
      </c>
      <c r="F18" s="24" t="s">
        <v>70</v>
      </c>
      <c r="G18" s="24" t="s">
        <v>47</v>
      </c>
      <c r="H18" s="24"/>
      <c r="I18" s="24" t="b">
        <v>0</v>
      </c>
      <c r="J18" s="28" t="s">
        <v>105</v>
      </c>
      <c r="K18" s="26" t="str">
        <f>IF($A18=K$1,"Role desired", "Not desired")</f>
        <v>Not desired</v>
      </c>
      <c r="L18" s="26" t="str">
        <f t="shared" si="0"/>
        <v>Role desired</v>
      </c>
      <c r="M18" s="29" t="str">
        <f t="shared" si="5"/>
        <v>Role desired</v>
      </c>
      <c r="N18" s="26" t="b">
        <f t="shared" si="1"/>
        <v>0</v>
      </c>
      <c r="O18" s="26" t="b">
        <f t="shared" si="2"/>
        <v>1</v>
      </c>
      <c r="P18" s="29" t="str">
        <f t="shared" si="3"/>
        <v>Role desired</v>
      </c>
      <c r="Q18" s="26" t="str">
        <f t="shared" si="4"/>
        <v>Salary below 85K</v>
      </c>
      <c r="R18" s="29" t="str" cm="1">
        <f t="array" ref="R18">_xlfn.IFS($H18="","No data",$H18&gt;=$Q$1,"salary&gt;85K",TRUE, "salary low")</f>
        <v>No data</v>
      </c>
    </row>
    <row r="19" spans="1:18">
      <c r="A19" s="23" t="s">
        <v>8</v>
      </c>
      <c r="B19" s="25">
        <v>45017.004837962966</v>
      </c>
      <c r="C19" s="24" t="s">
        <v>106</v>
      </c>
      <c r="D19" s="24" t="s">
        <v>58</v>
      </c>
      <c r="E19" s="28" t="s">
        <v>107</v>
      </c>
      <c r="F19" s="24" t="s">
        <v>70</v>
      </c>
      <c r="G19" s="24" t="s">
        <v>41</v>
      </c>
      <c r="H19" s="24">
        <v>87500</v>
      </c>
      <c r="I19" s="24" t="b">
        <v>0</v>
      </c>
      <c r="J19" s="28" t="s">
        <v>108</v>
      </c>
      <c r="K19" s="26" t="str">
        <f t="shared" si="0"/>
        <v>Not desired</v>
      </c>
      <c r="L19" s="26" t="str">
        <f t="shared" si="0"/>
        <v>Not desired</v>
      </c>
      <c r="M19" s="29" t="str">
        <f t="shared" si="5"/>
        <v>Not desired</v>
      </c>
      <c r="N19" s="26" t="b">
        <f t="shared" si="1"/>
        <v>0</v>
      </c>
      <c r="O19" s="26" t="b">
        <f t="shared" si="2"/>
        <v>0</v>
      </c>
      <c r="P19" s="29" t="str">
        <f t="shared" si="3"/>
        <v>Role not desired</v>
      </c>
      <c r="Q19" s="26" t="str">
        <f t="shared" si="4"/>
        <v>Salary&gt;85K</v>
      </c>
      <c r="R19" s="29" t="str" cm="1">
        <f t="array" ref="R19">_xlfn.IFS($H19="","No data",$H19&gt;=$Q$1,"salary&gt;85K",TRUE, "salary low")</f>
        <v>salary&gt;85K</v>
      </c>
    </row>
    <row r="20" spans="1:18">
      <c r="A20" s="23" t="s">
        <v>8</v>
      </c>
      <c r="B20" s="25">
        <v>45169.64203703704</v>
      </c>
      <c r="C20" s="24" t="s">
        <v>43</v>
      </c>
      <c r="D20" s="24" t="s">
        <v>58</v>
      </c>
      <c r="E20" s="28" t="s">
        <v>109</v>
      </c>
      <c r="F20" s="24" t="s">
        <v>77</v>
      </c>
      <c r="G20" s="24" t="s">
        <v>47</v>
      </c>
      <c r="H20" s="24"/>
      <c r="I20" s="24" t="b">
        <v>1</v>
      </c>
      <c r="J20" s="28" t="s">
        <v>110</v>
      </c>
      <c r="K20" s="26" t="str">
        <f>IF($A20=K$1,"Role desired", "Not desired")</f>
        <v>Not desired</v>
      </c>
      <c r="L20" s="26" t="str">
        <f t="shared" si="0"/>
        <v>Not desired</v>
      </c>
      <c r="M20" s="29" t="str">
        <f t="shared" si="5"/>
        <v>Not desired</v>
      </c>
      <c r="N20" s="26" t="b">
        <f t="shared" si="1"/>
        <v>0</v>
      </c>
      <c r="O20" s="26" t="b">
        <f t="shared" si="2"/>
        <v>0</v>
      </c>
      <c r="P20" s="29" t="str">
        <f t="shared" si="3"/>
        <v>Role not desired</v>
      </c>
      <c r="Q20" s="26" t="str">
        <f t="shared" si="4"/>
        <v>Salary below 85K</v>
      </c>
      <c r="R20" s="29" t="str" cm="1">
        <f t="array" ref="R20">_xlfn.IFS($H20="","No data",$H20&gt;=$Q$1,"salary&gt;85K",TRUE, "salary low")</f>
        <v>No data</v>
      </c>
    </row>
    <row r="21" spans="1:18">
      <c r="A21" s="23" t="s">
        <v>31</v>
      </c>
      <c r="B21" s="25">
        <v>45000.542685185188</v>
      </c>
      <c r="C21" s="24" t="s">
        <v>111</v>
      </c>
      <c r="D21" s="24" t="s">
        <v>38</v>
      </c>
      <c r="E21" s="28" t="s">
        <v>112</v>
      </c>
      <c r="F21" s="24" t="s">
        <v>113</v>
      </c>
      <c r="G21" s="24" t="s">
        <v>41</v>
      </c>
      <c r="H21" s="24">
        <v>90000</v>
      </c>
      <c r="I21" s="24" t="b">
        <v>0</v>
      </c>
      <c r="J21" s="28" t="s">
        <v>114</v>
      </c>
      <c r="K21" s="26" t="str">
        <f t="shared" si="0"/>
        <v>Not desired</v>
      </c>
      <c r="L21" s="26" t="str">
        <f t="shared" si="0"/>
        <v>Role desired</v>
      </c>
      <c r="M21" s="29" t="str">
        <f t="shared" si="5"/>
        <v>Role desired</v>
      </c>
      <c r="N21" s="26" t="b">
        <f t="shared" si="1"/>
        <v>0</v>
      </c>
      <c r="O21" s="26" t="b">
        <f t="shared" si="2"/>
        <v>1</v>
      </c>
      <c r="P21" s="29" t="str">
        <f t="shared" si="3"/>
        <v>Role desired</v>
      </c>
      <c r="Q21" s="26" t="str">
        <f t="shared" si="4"/>
        <v>Salary&gt;85K</v>
      </c>
      <c r="R21" s="29" t="str" cm="1">
        <f t="array" ref="R21">_xlfn.IFS($H21="","No data",$H21&gt;=$Q$1,"salary&gt;85K",TRUE, "salary low")</f>
        <v>salary&gt;85K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47A2-AA93-4D4C-B613-7A8F900E6262}">
  <dimension ref="A1:E6"/>
  <sheetViews>
    <sheetView workbookViewId="0">
      <selection activeCell="E5" sqref="E5"/>
    </sheetView>
  </sheetViews>
  <sheetFormatPr defaultRowHeight="15"/>
  <cols>
    <col min="2" max="2" width="10.5703125" bestFit="1" customWidth="1"/>
    <col min="3" max="3" width="11" bestFit="1" customWidth="1"/>
  </cols>
  <sheetData>
    <row r="1" spans="1:5">
      <c r="A1" s="26"/>
      <c r="B1" s="26"/>
      <c r="C1" s="26"/>
      <c r="D1" s="26"/>
      <c r="E1" s="26"/>
    </row>
    <row r="2" spans="1:5">
      <c r="A2" s="26"/>
      <c r="B2" s="30" t="s">
        <v>115</v>
      </c>
      <c r="C2" s="31" t="s">
        <v>116</v>
      </c>
      <c r="D2" s="32" t="s">
        <v>33</v>
      </c>
      <c r="E2" s="32" t="s">
        <v>34</v>
      </c>
    </row>
    <row r="3" spans="1:5">
      <c r="A3" s="26"/>
      <c r="B3" s="33" t="b">
        <v>1</v>
      </c>
      <c r="C3" s="34" t="b">
        <v>1</v>
      </c>
      <c r="D3" s="34" t="b">
        <f>AND(B3,C3)</f>
        <v>1</v>
      </c>
      <c r="E3" s="34" t="b">
        <f>OR(B3,C3)</f>
        <v>1</v>
      </c>
    </row>
    <row r="4" spans="1:5">
      <c r="A4" s="26"/>
      <c r="B4" s="33" t="b">
        <v>1</v>
      </c>
      <c r="C4" s="34" t="b">
        <v>0</v>
      </c>
      <c r="D4" s="34" t="b">
        <f t="shared" ref="D4:D6" si="0">AND(B4,C4)</f>
        <v>0</v>
      </c>
      <c r="E4" s="34" t="b">
        <f t="shared" ref="E4:E6" si="1">OR(B4,C4)</f>
        <v>1</v>
      </c>
    </row>
    <row r="5" spans="1:5">
      <c r="A5" s="26"/>
      <c r="B5" s="33" t="b">
        <v>0</v>
      </c>
      <c r="C5" s="34" t="b">
        <v>1</v>
      </c>
      <c r="D5" s="34" t="b">
        <f t="shared" si="0"/>
        <v>0</v>
      </c>
      <c r="E5" s="34" t="b">
        <f t="shared" si="1"/>
        <v>1</v>
      </c>
    </row>
    <row r="6" spans="1:5">
      <c r="A6" s="26"/>
      <c r="B6" s="35" t="b">
        <v>0</v>
      </c>
      <c r="C6" s="36" t="b">
        <v>0</v>
      </c>
      <c r="D6" s="34" t="b">
        <f t="shared" si="0"/>
        <v>0</v>
      </c>
      <c r="E6" s="34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2026-06-05T13:07:52Z</dcterms:created>
  <dcterms:modified xsi:type="dcterms:W3CDTF">2026-06-08T10:08:41Z</dcterms:modified>
  <cp:category/>
  <cp:contentStatus/>
</cp:coreProperties>
</file>